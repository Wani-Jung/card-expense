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퀴즈" sheetId="2" state="visible" r:id="rId4"/>
  </sheets>
  <definedNames>
    <definedName function="false" hidden="true" localSheetId="1" name="_xlnm._FilterDatabase" vbProcedure="false">퀴즈!$A$1:$I$101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<sst xmlns="http://schemas.openxmlformats.org/spreadsheetml/2006/main" count="625" uniqueCount="286">
  <si>
    <r>
      <rPr>
        <b val="true"/>
        <sz val="14"/>
        <rFont val="Noto Sans CJK SC"/>
        <family val="2"/>
      </rPr>
      <t xml:space="preserve">공감카드 관리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Noto Sans CJK SC"/>
        <family val="2"/>
      </rPr>
      <t xml:space="preserve">오늘의 안전 </t>
    </r>
    <r>
      <rPr>
        <b val="true"/>
        <sz val="14"/>
        <rFont val="Arial"/>
        <family val="0"/>
        <charset val="1"/>
      </rPr>
      <t xml:space="preserve">OX </t>
    </r>
    <r>
      <rPr>
        <b val="true"/>
        <sz val="14"/>
        <rFont val="Noto Sans CJK SC"/>
        <family val="2"/>
      </rPr>
      <t xml:space="preserve">퀴즈 문제 풀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서류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절차편 초안 </t>
    </r>
    <r>
      <rPr>
        <b val="true"/>
        <sz val="14"/>
        <rFont val="Arial"/>
        <family val="0"/>
        <charset val="1"/>
      </rPr>
      <t xml:space="preserve">100</t>
    </r>
    <r>
      <rPr>
        <b val="true"/>
        <sz val="14"/>
        <rFont val="Noto Sans CJK SC"/>
        <family val="2"/>
      </rPr>
      <t xml:space="preserve">문항</t>
    </r>
    <r>
      <rPr>
        <b val="true"/>
        <sz val="14"/>
        <rFont val="Arial"/>
        <family val="0"/>
        <charset val="1"/>
      </rPr>
      <t xml:space="preserve">)</t>
    </r>
  </si>
  <si>
    <t xml:space="preserve">사용법</t>
  </si>
  <si>
    <r>
      <rPr>
        <sz val="11"/>
        <rFont val="Arial"/>
        <family val="0"/>
        <charset val="1"/>
      </rPr>
      <t xml:space="preserve">1. '</t>
    </r>
    <r>
      <rPr>
        <sz val="11"/>
        <rFont val="Noto Sans CJK SC"/>
        <family val="2"/>
      </rPr>
      <t xml:space="preserve">퀴즈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시트의 노란 칸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채택</t>
    </r>
    <r>
      <rPr>
        <sz val="11"/>
        <rFont val="Arial"/>
        <family val="0"/>
        <charset val="1"/>
      </rPr>
      <t xml:space="preserve">(O/X)'</t>
    </r>
    <r>
      <rPr>
        <sz val="11"/>
        <rFont val="Noto Sans CJK SC"/>
        <family val="2"/>
      </rPr>
      <t xml:space="preserve">에 쓸 문제는 </t>
    </r>
    <r>
      <rPr>
        <sz val="11"/>
        <rFont val="Arial"/>
        <family val="0"/>
        <charset val="1"/>
      </rPr>
      <t xml:space="preserve">O, </t>
    </r>
    <r>
      <rPr>
        <sz val="11"/>
        <rFont val="Noto Sans CJK SC"/>
        <family val="2"/>
      </rPr>
      <t xml:space="preserve">뺄 문제는 </t>
    </r>
    <r>
      <rPr>
        <sz val="11"/>
        <rFont val="Arial"/>
        <family val="0"/>
        <charset val="1"/>
      </rPr>
      <t xml:space="preserve">X</t>
    </r>
    <r>
      <rPr>
        <sz val="11"/>
        <rFont val="Noto Sans CJK SC"/>
        <family val="2"/>
      </rPr>
      <t xml:space="preserve">를 고르세요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</si>
  <si>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2. </t>
    </r>
    <r>
      <rPr>
        <sz val="11"/>
        <rFont val="Noto Sans CJK SC"/>
        <family val="2"/>
      </rPr>
      <t xml:space="preserve">문구를 고치고 싶으면 문제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해설 칸을 직접 고치거나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수정 메모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에 적어주세요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</si>
  <si>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3. '</t>
    </r>
    <r>
      <rPr>
        <sz val="11"/>
        <rFont val="Noto Sans CJK SC"/>
        <family val="2"/>
      </rPr>
      <t xml:space="preserve">신뢰도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가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확인 권장</t>
    </r>
    <r>
      <rPr>
        <sz val="11"/>
        <rFont val="Arial"/>
        <family val="0"/>
        <charset val="1"/>
      </rPr>
      <t xml:space="preserve">'(</t>
    </r>
    <r>
      <rPr>
        <sz val="11"/>
        <rFont val="Noto Sans CJK SC"/>
        <family val="2"/>
      </rPr>
      <t xml:space="preserve">주황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인 문항은 수치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조문이 바뀌었을 수 있으니 법령 원문으로 꼭 확인하세요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</si>
  <si>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4. </t>
    </r>
    <r>
      <rPr>
        <sz val="11"/>
        <rFont val="Noto Sans CJK SC"/>
        <family val="2"/>
      </rPr>
      <t xml:space="preserve">다 고르면 이 파일을 앱 프로젝트에 넣고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채택</t>
    </r>
    <r>
      <rPr>
        <sz val="11"/>
        <rFont val="Arial"/>
        <family val="0"/>
        <charset val="1"/>
      </rPr>
      <t xml:space="preserve">=O </t>
    </r>
    <r>
      <rPr>
        <sz val="11"/>
        <rFont val="Noto Sans CJK SC"/>
        <family val="2"/>
      </rPr>
      <t xml:space="preserve">문항만 앱에 넣도록 요청하면 됩니다</t>
    </r>
    <r>
      <rPr>
        <sz val="11"/>
        <rFont val="Arial"/>
        <family val="0"/>
        <charset val="1"/>
      </rPr>
      <t xml:space="preserve">.</t>
    </r>
  </si>
  <si>
    <t xml:space="preserve">주의</t>
  </si>
  <si>
    <r>
      <rPr>
        <sz val="11"/>
        <rFont val="Arial"/>
        <family val="0"/>
        <charset val="1"/>
      </rPr>
      <t xml:space="preserve">- 2026-10-29 </t>
    </r>
    <r>
      <rPr>
        <sz val="11"/>
        <rFont val="Noto Sans CJK SC"/>
        <family val="2"/>
      </rPr>
      <t xml:space="preserve">기준으로 작성한 초안입니다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법령은 자주 개정되므로 배포 전 국가법령정보센터</t>
    </r>
    <r>
      <rPr>
        <sz val="11"/>
        <rFont val="Arial"/>
        <family val="0"/>
        <charset val="1"/>
      </rPr>
      <t xml:space="preserve">(law.go.kr)</t>
    </r>
    <r>
      <rPr>
        <sz val="11"/>
        <rFont val="Noto Sans CJK SC"/>
        <family val="2"/>
      </rPr>
      <t xml:space="preserve">에서 확인하세요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</si>
  <si>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해설은 팝업에 그대로 보여줄 수 있게 짧게 썼습니다</t>
    </r>
    <r>
      <rPr>
        <sz val="11"/>
        <rFont val="Arial"/>
        <family val="0"/>
        <charset val="1"/>
      </rPr>
      <t xml:space="preserve">.</t>
    </r>
  </si>
  <si>
    <t xml:space="preserve">통계</t>
  </si>
  <si>
    <t xml:space="preserve">전체 문항</t>
  </si>
  <si>
    <r>
      <rPr>
        <sz val="11"/>
        <rFont val="Noto Sans CJK SC"/>
        <family val="2"/>
      </rPr>
      <t xml:space="preserve">정답 </t>
    </r>
    <r>
      <rPr>
        <sz val="11"/>
        <rFont val="Arial"/>
        <family val="0"/>
        <charset val="1"/>
      </rPr>
      <t xml:space="preserve">O</t>
    </r>
  </si>
  <si>
    <r>
      <rPr>
        <sz val="11"/>
        <rFont val="Noto Sans CJK SC"/>
        <family val="2"/>
      </rPr>
      <t xml:space="preserve">정답 </t>
    </r>
    <r>
      <rPr>
        <sz val="11"/>
        <rFont val="Arial"/>
        <family val="0"/>
        <charset val="1"/>
      </rPr>
      <t xml:space="preserve">X</t>
    </r>
  </si>
  <si>
    <t xml:space="preserve">확인 권장</t>
  </si>
  <si>
    <r>
      <rPr>
        <sz val="11"/>
        <rFont val="Noto Sans CJK SC"/>
        <family val="2"/>
      </rPr>
      <t xml:space="preserve">채택 </t>
    </r>
    <r>
      <rPr>
        <sz val="11"/>
        <rFont val="Arial"/>
        <family val="0"/>
        <charset val="1"/>
      </rPr>
      <t xml:space="preserve">O</t>
    </r>
  </si>
  <si>
    <r>
      <rPr>
        <sz val="11"/>
        <rFont val="Noto Sans CJK SC"/>
        <family val="2"/>
      </rPr>
      <t xml:space="preserve">채택 </t>
    </r>
    <r>
      <rPr>
        <sz val="11"/>
        <rFont val="Arial"/>
        <family val="0"/>
        <charset val="1"/>
      </rPr>
      <t xml:space="preserve">X</t>
    </r>
  </si>
  <si>
    <t xml:space="preserve">번호</t>
  </si>
  <si>
    <t xml:space="preserve">분야</t>
  </si>
  <si>
    <t xml:space="preserve">문제</t>
  </si>
  <si>
    <t xml:space="preserve">정답</t>
  </si>
  <si>
    <r>
      <rPr>
        <b val="true"/>
        <sz val="11"/>
        <color rgb="FFFFFFFF"/>
        <rFont val="Noto Sans CJK SC"/>
        <family val="2"/>
      </rPr>
      <t xml:space="preserve">해설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팝업용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</si>
  <si>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근거</t>
  </si>
  <si>
    <t xml:space="preserve">신뢰도</t>
  </si>
  <si>
    <r>
      <rPr>
        <b val="true"/>
        <sz val="11"/>
        <color rgb="FFFFFFFF"/>
        <rFont val="Noto Sans CJK SC"/>
        <family val="2"/>
      </rPr>
      <t xml:space="preserve">채택</t>
    </r>
    <r>
      <rPr>
        <b val="true"/>
        <sz val="11"/>
        <color rgb="FFFFFFFF"/>
        <rFont val="Arial"/>
        <family val="0"/>
        <charset val="1"/>
      </rPr>
      <t xml:space="preserve">(O/X)</t>
    </r>
  </si>
  <si>
    <t xml:space="preserve">수정 메모</t>
  </si>
  <si>
    <t xml:space="preserve">위험성평가</t>
  </si>
  <si>
    <r>
      <rPr>
        <sz val="10"/>
        <rFont val="Noto Sans CJK SC"/>
        <family val="2"/>
      </rPr>
      <t xml:space="preserve">최초 위험성평가는 건설공사 착공일로부터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개월 이내에 착수해야 한다</t>
    </r>
    <r>
      <rPr>
        <sz val="10"/>
        <rFont val="Arial"/>
        <family val="0"/>
        <charset val="1"/>
      </rPr>
      <t xml:space="preserve">.</t>
    </r>
  </si>
  <si>
    <t xml:space="preserve">O</t>
  </si>
  <si>
    <r>
      <rPr>
        <sz val="10"/>
        <rFont val="Arial"/>
        <family val="0"/>
        <charset val="1"/>
      </rPr>
      <t xml:space="preserve">2023</t>
    </r>
    <r>
      <rPr>
        <sz val="10"/>
        <rFont val="Noto Sans CJK SC"/>
        <family val="2"/>
      </rPr>
      <t xml:space="preserve">년 개정으로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착공 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개월 이내 착수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 명확해졌어요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</si>
  <si>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사업장 위험성평가에 관한 지침 제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조</t>
    </r>
  </si>
  <si>
    <t xml:space="preserve">높음</t>
  </si>
  <si>
    <r>
      <rPr>
        <sz val="10"/>
        <rFont val="Noto Sans CJK SC"/>
        <family val="2"/>
      </rPr>
      <t xml:space="preserve">최초 위험성평가는 착공일로부터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개월 이내에 착수하면 된다</t>
    </r>
    <r>
      <rPr>
        <sz val="10"/>
        <rFont val="Arial"/>
        <family val="0"/>
        <charset val="1"/>
      </rPr>
      <t xml:space="preserve">.</t>
    </r>
  </si>
  <si>
    <t xml:space="preserve">X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</si>
  <si>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개월 이내에 착수해야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</si>
  <si>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정기 위험성평가는 매년 실시한다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</si>
  <si>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최초평가 결과를 매년 재검토하는 게 정기평가예요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</si>
  <si>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정기 위험성평가는 반기마다 실시한다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</si>
  <si>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정기평가는 매년이에요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</si>
  <si>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수시 위험성평가는 매월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정기적으로 실시해야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</si>
  <si>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수시평가는 주기가 아니라 설비 도입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공법 변경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재해 발생 등 사유가 생길 때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</si>
  <si>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위험성평가 결과와 조치사항 기록은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년간 보존해야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</si>
  <si>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위험성평가 기록 보존기간은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</si>
  <si>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시행규칙 제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</si>
  <si>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위험성평가 기록의 보존기간은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</si>
  <si>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</si>
  <si>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위험성평가 기록에는 유해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위험요인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위험성 결정 내용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그에 따른 조치 내용을 포함해야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</si>
  <si>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세 가지가 기록 필수 항목이에요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</si>
  <si>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매월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 평가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결과 협의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 작업일 </t>
    </r>
    <r>
      <rPr>
        <sz val="10"/>
        <rFont val="Arial"/>
        <family val="0"/>
        <charset val="1"/>
      </rPr>
      <t xml:space="preserve">TBM</t>
    </r>
    <r>
      <rPr>
        <sz val="10"/>
        <rFont val="Noto Sans CJK SC"/>
        <family val="2"/>
      </rPr>
      <t xml:space="preserve">을 하면 정기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수시평가를 실시한 것으로 본다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</si>
  <si>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상시평가 제도예요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</si>
  <si>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상시평가로 인정받으려면 </t>
    </r>
    <r>
      <rPr>
        <sz val="10"/>
        <rFont val="Arial"/>
        <family val="0"/>
        <charset val="1"/>
      </rPr>
      <t xml:space="preserve">TBM</t>
    </r>
    <r>
      <rPr>
        <sz val="10"/>
        <rFont val="Noto Sans CJK SC"/>
        <family val="2"/>
      </rPr>
      <t xml:space="preserve">을 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 하면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</si>
  <si>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TBM</t>
    </r>
    <r>
      <rPr>
        <sz val="10"/>
        <rFont val="Noto Sans CJK SC"/>
        <family val="2"/>
      </rPr>
      <t xml:space="preserve">은 매 작업일마다 해야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</si>
  <si>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2023</t>
    </r>
    <r>
      <rPr>
        <sz val="10"/>
        <rFont val="Noto Sans CJK SC"/>
        <family val="2"/>
      </rPr>
      <t xml:space="preserve">년 개정 지침에서는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단계 판단법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으로도 위험성을 결정할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</si>
  <si>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체크리스트</t>
    </r>
    <r>
      <rPr>
        <sz val="10"/>
        <rFont val="Arial"/>
        <family val="0"/>
        <charset val="1"/>
      </rPr>
      <t xml:space="preserve">·OPS·3</t>
    </r>
    <r>
      <rPr>
        <sz val="10"/>
        <rFont val="Noto Sans CJK SC"/>
        <family val="2"/>
      </rPr>
      <t xml:space="preserve">단계 판단법 등 쉬운 방법도 인정돼요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</si>
  <si>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사업장 위험성평가에 관한 지침</t>
    </r>
    <r>
      <rPr>
        <sz val="10"/>
        <rFont val="Arial"/>
        <family val="0"/>
        <charset val="1"/>
      </rPr>
      <t xml:space="preserve">(2023 </t>
    </r>
    <r>
      <rPr>
        <sz val="10"/>
        <rFont val="Noto Sans CJK SC"/>
        <family val="2"/>
      </rPr>
      <t xml:space="preserve">개정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</si>
  <si>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도급인은 수급인이 실시한 위험성평가 결과를 검토하고 필요하면 개선을 요청해야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</si>
  <si>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도급 사업에서는 도급인이 수급인 평가를 검토해요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</si>
  <si>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사업장 위험성평가에 관한 지침 제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조</t>
    </r>
  </si>
  <si>
    <t xml:space="preserve">산안관리비</t>
  </si>
  <si>
    <r>
      <rPr>
        <sz val="10"/>
        <rFont val="Noto Sans CJK SC"/>
        <family val="2"/>
      </rPr>
      <t xml:space="preserve">산업안전보건관리비는 총공사금액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천만원 이상 건설공사에 계상한다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</si>
  <si>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산재보험 적용 공사 중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천만원 이상이 대상이에요</t>
    </r>
    <r>
      <rPr>
        <sz val="10"/>
        <rFont val="Arial"/>
        <family val="0"/>
        <charset val="1"/>
      </rPr>
      <t xml:space="preserve">.</t>
    </r>
  </si>
  <si>
    <t xml:space="preserve">건설업 산업안전보건관리비 계상 및 사용기준</t>
  </si>
  <si>
    <r>
      <rPr>
        <sz val="10"/>
        <rFont val="Noto Sans CJK SC"/>
        <family val="2"/>
      </rPr>
      <t xml:space="preserve">산업안전보건관리비 사용명세서는 분기마다 작성하면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</si>
  <si>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매월 작성하고 공사 종료 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년간 보존해요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</si>
  <si>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산업안전보건관리비 사용명세서는 공사 종료 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년간 보존한다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</si>
  <si>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보존기간은 공사 종료 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</si>
  <si>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</si>
  <si>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산업안전보건관리비 사용명세서의 보존기간은 공사 종료 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</si>
  <si>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공사 종료 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</si>
  <si>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공정률 </t>
    </r>
    <r>
      <rPr>
        <sz val="10"/>
        <rFont val="Arial"/>
        <family val="0"/>
        <charset val="1"/>
      </rPr>
      <t xml:space="preserve">50% </t>
    </r>
    <r>
      <rPr>
        <sz val="10"/>
        <rFont val="Noto Sans CJK SC"/>
        <family val="2"/>
      </rPr>
      <t xml:space="preserve">이상 </t>
    </r>
    <r>
      <rPr>
        <sz val="10"/>
        <rFont val="Arial"/>
        <family val="0"/>
        <charset val="1"/>
      </rPr>
      <t xml:space="preserve">70% </t>
    </r>
    <r>
      <rPr>
        <sz val="10"/>
        <rFont val="Noto Sans CJK SC"/>
        <family val="2"/>
      </rPr>
      <t xml:space="preserve">미만이면 산업안전보건관리비를 </t>
    </r>
    <r>
      <rPr>
        <sz val="10"/>
        <rFont val="Arial"/>
        <family val="0"/>
        <charset val="1"/>
      </rPr>
      <t xml:space="preserve">30% </t>
    </r>
    <r>
      <rPr>
        <sz val="10"/>
        <rFont val="Noto Sans CJK SC"/>
        <family val="2"/>
      </rPr>
      <t xml:space="preserve">이상 사용하면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</si>
  <si>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공정률 </t>
    </r>
    <r>
      <rPr>
        <sz val="10"/>
        <rFont val="Arial"/>
        <family val="0"/>
        <charset val="1"/>
      </rPr>
      <t xml:space="preserve">50~70% </t>
    </r>
    <r>
      <rPr>
        <sz val="10"/>
        <rFont val="Noto Sans CJK SC"/>
        <family val="2"/>
      </rPr>
      <t xml:space="preserve">미만 </t>
    </r>
    <r>
      <rPr>
        <sz val="10"/>
        <rFont val="Arial"/>
        <family val="0"/>
        <charset val="1"/>
      </rPr>
      <t xml:space="preserve">50%, 70~90% </t>
    </r>
    <r>
      <rPr>
        <sz val="10"/>
        <rFont val="Noto Sans CJK SC"/>
        <family val="2"/>
      </rPr>
      <t xml:space="preserve">미만 </t>
    </r>
    <r>
      <rPr>
        <sz val="10"/>
        <rFont val="Arial"/>
        <family val="0"/>
        <charset val="1"/>
      </rPr>
      <t xml:space="preserve">70%, 90% </t>
    </r>
    <r>
      <rPr>
        <sz val="10"/>
        <rFont val="Noto Sans CJK SC"/>
        <family val="2"/>
      </rPr>
      <t xml:space="preserve">이상 </t>
    </r>
    <r>
      <rPr>
        <sz val="10"/>
        <rFont val="Arial"/>
        <family val="0"/>
        <charset val="1"/>
      </rPr>
      <t xml:space="preserve">90% </t>
    </r>
    <r>
      <rPr>
        <sz val="10"/>
        <rFont val="Noto Sans CJK SC"/>
        <family val="2"/>
      </rPr>
      <t xml:space="preserve">이상이에요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</si>
  <si>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건설업 산업안전보건관리비 계상 및 사용기준 별표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</si>
  <si>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공정률 </t>
    </r>
    <r>
      <rPr>
        <sz val="10"/>
        <rFont val="Arial"/>
        <family val="0"/>
        <charset val="1"/>
      </rPr>
      <t xml:space="preserve">70% </t>
    </r>
    <r>
      <rPr>
        <sz val="10"/>
        <rFont val="Noto Sans CJK SC"/>
        <family val="2"/>
      </rPr>
      <t xml:space="preserve">이상 </t>
    </r>
    <r>
      <rPr>
        <sz val="10"/>
        <rFont val="Arial"/>
        <family val="0"/>
        <charset val="1"/>
      </rPr>
      <t xml:space="preserve">90% </t>
    </r>
    <r>
      <rPr>
        <sz val="10"/>
        <rFont val="Noto Sans CJK SC"/>
        <family val="2"/>
      </rPr>
      <t xml:space="preserve">미만 구간의 산업안전보건관리비 최소 사용비율은 </t>
    </r>
    <r>
      <rPr>
        <sz val="10"/>
        <rFont val="Arial"/>
        <family val="0"/>
        <charset val="1"/>
      </rPr>
      <t xml:space="preserve">80%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</si>
  <si>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70% </t>
    </r>
    <r>
      <rPr>
        <sz val="10"/>
        <rFont val="Noto Sans CJK SC"/>
        <family val="2"/>
      </rPr>
      <t xml:space="preserve">이상이에요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</si>
  <si>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공정률 </t>
    </r>
    <r>
      <rPr>
        <sz val="10"/>
        <rFont val="Arial"/>
        <family val="0"/>
        <charset val="1"/>
      </rPr>
      <t xml:space="preserve">90% </t>
    </r>
    <r>
      <rPr>
        <sz val="10"/>
        <rFont val="Noto Sans CJK SC"/>
        <family val="2"/>
      </rPr>
      <t xml:space="preserve">이상이면 산업안전보건관리비를 </t>
    </r>
    <r>
      <rPr>
        <sz val="10"/>
        <rFont val="Arial"/>
        <family val="0"/>
        <charset val="1"/>
      </rPr>
      <t xml:space="preserve">90% </t>
    </r>
    <r>
      <rPr>
        <sz val="10"/>
        <rFont val="Noto Sans CJK SC"/>
        <family val="2"/>
      </rPr>
      <t xml:space="preserve">이상 사용해야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</si>
  <si>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90% </t>
    </r>
    <r>
      <rPr>
        <sz val="10"/>
        <rFont val="Noto Sans CJK SC"/>
        <family val="2"/>
      </rPr>
      <t xml:space="preserve">이상 구간은 </t>
    </r>
    <r>
      <rPr>
        <sz val="10"/>
        <rFont val="Arial"/>
        <family val="0"/>
        <charset val="1"/>
      </rPr>
      <t xml:space="preserve">90% </t>
    </r>
    <r>
      <rPr>
        <sz val="10"/>
        <rFont val="Noto Sans CJK SC"/>
        <family val="2"/>
      </rPr>
      <t xml:space="preserve">이상 사용이에요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</si>
  <si>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산업안전보건관리비 계상 대상액은 재료비와 직접노무비의 합이다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</si>
  <si>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대상액에 공사 종류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규모별 요율을 곱해 계상해요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</si>
  <si>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산업안전보건관리비 계상 대상액에는 간접노무비도 포함된다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</si>
  <si>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대상액은 재료비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직접노무비예요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</si>
  <si>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발주자는 수급인이 사용하지 않은 산업안전보건관리비에 대해 반환을 요구할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</si>
  <si>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목적 외 사용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미사용 금액은 반환 요구 대상이에요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</si>
  <si>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전담 안전관리자의 인건비는 산업안전보건관리비로 사용할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</si>
  <si>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안전관리자 인건비는 대표적 사용 항목이에요</t>
    </r>
    <r>
      <rPr>
        <sz val="10"/>
        <rFont val="Arial"/>
        <family val="0"/>
        <charset val="1"/>
      </rPr>
      <t xml:space="preserve">.</t>
    </r>
  </si>
  <si>
    <t xml:space="preserve">안전보건대장</t>
  </si>
  <si>
    <r>
      <rPr>
        <sz val="10"/>
        <rFont val="Noto Sans CJK SC"/>
        <family val="2"/>
      </rPr>
      <t xml:space="preserve">기본안전보건대장은 설계자가 작성한다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</si>
  <si>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계획 단계에서 발주자가 기본안전보건대장 작성이에요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</si>
  <si>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Arial"/>
        <family val="0"/>
        <charset val="1"/>
      </rPr>
      <t xml:space="preserve">67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</si>
  <si>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설계안전보건대장은 설계자가 작성하도록 하고 발주자가 확인한다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</si>
  <si>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설계 단계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설계자 작성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발주자 확인이에요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</si>
  <si>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공사안전보건대장은 발주자가 직접 작성해야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</si>
  <si>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시공 단계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건설공사도급인이 작성하고 발주자가 이행을 확인해요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</si>
  <si>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안전보건대장 작성 의무는 공사비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억원 이상 건설공사부터 적용된다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</si>
  <si>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공사비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억원 이상 건설공사가 대상이에요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</si>
  <si>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시행령 제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</rPr>
      <t xml:space="preserve">조</t>
    </r>
  </si>
  <si>
    <t xml:space="preserve">유해위험방지계획서</t>
  </si>
  <si>
    <r>
      <rPr>
        <sz val="10"/>
        <rFont val="Noto Sans CJK SC"/>
        <family val="2"/>
      </rPr>
      <t xml:space="preserve">건설공사 유해위험방지계획서는 공사 착공 전날까지 공단에 제출해야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</si>
  <si>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착공 전날까지 한국산업안전보건공단에 제출해요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</si>
  <si>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시행규칙 제</t>
    </r>
    <r>
      <rPr>
        <sz val="10"/>
        <rFont val="Arial"/>
        <family val="0"/>
        <charset val="1"/>
      </rPr>
      <t xml:space="preserve">42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</si>
  <si>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공단은 유해위험방지계획서 접수일로부터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 이내에 심사 결과를 통지한다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</si>
  <si>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 이내에 통지해요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</si>
  <si>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시행규칙 제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</si>
  <si>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유해위험방지계획서 대상 건설공사는 공사 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이내마다 공단의 확인을 받으면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</si>
  <si>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공사 중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개월 이내마다 이행 여부 확인을 받아요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</si>
  <si>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시행규칙 제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</si>
  <si>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건설공사 유해위험방지계획서를 작성할 때는 건설안전 분야 자격자 등의 의견을 들어야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</si>
  <si>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건설안전기술사 등 자격자 의견을 들어 작성해요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</si>
  <si>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지상높이 </t>
    </r>
    <r>
      <rPr>
        <sz val="10"/>
        <rFont val="Arial"/>
        <family val="0"/>
        <charset val="1"/>
      </rPr>
      <t xml:space="preserve">31m </t>
    </r>
    <r>
      <rPr>
        <sz val="10"/>
        <rFont val="Noto Sans CJK SC"/>
        <family val="2"/>
      </rPr>
      <t xml:space="preserve">이상 건축물 건설공사는 유해위험방지계획서 제출 대상이다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</si>
  <si>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31m </t>
    </r>
    <r>
      <rPr>
        <sz val="10"/>
        <rFont val="Noto Sans CJK SC"/>
        <family val="2"/>
      </rPr>
      <t xml:space="preserve">이상 건축물이 대상이에요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</si>
  <si>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시행령 제</t>
    </r>
    <r>
      <rPr>
        <sz val="10"/>
        <rFont val="Arial"/>
        <family val="0"/>
        <charset val="1"/>
      </rPr>
      <t xml:space="preserve">42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</si>
  <si>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연면적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만㎡ 이상 건축물 건설공사는 유해위험방지계획서 제출 대상이다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</si>
  <si>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연면적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만㎡ 이상이 대상이에요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</si>
  <si>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연면적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천㎡ 이상 냉동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냉장 창고시설의 설비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단열공사는 유해위험방지계획서 제출 대상이다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</si>
  <si>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화재 위험 때문에 대상에 포함돼요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</si>
  <si>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깊이 </t>
    </r>
    <r>
      <rPr>
        <sz val="10"/>
        <rFont val="Arial"/>
        <family val="0"/>
        <charset val="1"/>
      </rPr>
      <t xml:space="preserve">5m </t>
    </r>
    <r>
      <rPr>
        <sz val="10"/>
        <rFont val="Noto Sans CJK SC"/>
        <family val="2"/>
      </rPr>
      <t xml:space="preserve">이상 굴착공사는 유해위험방지계획서 제출 대상이다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</si>
  <si>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굴착 깊이 </t>
    </r>
    <r>
      <rPr>
        <sz val="10"/>
        <rFont val="Arial"/>
        <family val="0"/>
        <charset val="1"/>
      </rPr>
      <t xml:space="preserve">10m </t>
    </r>
    <r>
      <rPr>
        <sz val="10"/>
        <rFont val="Noto Sans CJK SC"/>
        <family val="2"/>
      </rPr>
      <t xml:space="preserve">이상이 대상이에요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</si>
  <si>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최대 지간길이 </t>
    </r>
    <r>
      <rPr>
        <sz val="10"/>
        <rFont val="Arial"/>
        <family val="0"/>
        <charset val="1"/>
      </rPr>
      <t xml:space="preserve">30m </t>
    </r>
    <r>
      <rPr>
        <sz val="10"/>
        <rFont val="Noto Sans CJK SC"/>
        <family val="2"/>
      </rPr>
      <t xml:space="preserve">이상 교량 건설공사는 유해위험방지계획서 제출 대상이다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</si>
  <si>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최대 지간길이 </t>
    </r>
    <r>
      <rPr>
        <sz val="10"/>
        <rFont val="Arial"/>
        <family val="0"/>
        <charset val="1"/>
      </rPr>
      <t xml:space="preserve">50m </t>
    </r>
    <r>
      <rPr>
        <sz val="10"/>
        <rFont val="Noto Sans CJK SC"/>
        <family val="2"/>
      </rPr>
      <t xml:space="preserve">이상 교량이 대상이에요</t>
    </r>
    <r>
      <rPr>
        <sz val="10"/>
        <rFont val="Arial"/>
        <family val="0"/>
        <charset val="1"/>
      </rPr>
      <t xml:space="preserve">.</t>
    </r>
  </si>
  <si>
    <t xml:space="preserve">작업계획서</t>
  </si>
  <si>
    <r>
      <rPr>
        <sz val="10"/>
        <rFont val="Noto Sans CJK SC"/>
        <family val="2"/>
      </rPr>
      <t xml:space="preserve">높이 </t>
    </r>
    <r>
      <rPr>
        <sz val="10"/>
        <rFont val="Arial"/>
        <family val="0"/>
        <charset val="1"/>
      </rPr>
      <t xml:space="preserve">2m </t>
    </r>
    <r>
      <rPr>
        <sz val="10"/>
        <rFont val="Noto Sans CJK SC"/>
        <family val="2"/>
      </rPr>
      <t xml:space="preserve">이상 지반 굴착작업은 작업계획서 작성 대상이다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</si>
  <si>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굴착면 높이 </t>
    </r>
    <r>
      <rPr>
        <sz val="10"/>
        <rFont val="Arial"/>
        <family val="0"/>
        <charset val="1"/>
      </rPr>
      <t xml:space="preserve">2m </t>
    </r>
    <r>
      <rPr>
        <sz val="10"/>
        <rFont val="Noto Sans CJK SC"/>
        <family val="2"/>
      </rPr>
      <t xml:space="preserve">이상 굴착작업이 대상이에요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</si>
  <si>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안전보건규칙 제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</si>
  <si>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차량계 건설기계를 사용하는 작업은 작업계획서 작성 대상이다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</si>
  <si>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굴착기 등 차량계 건설기계 작업이 대상이에요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</si>
  <si>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중량물 취급작업은 작업계획서 작성 대상이 아니다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</si>
  <si>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중량물 취급작업도 작업계획서 대상이에요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</si>
  <si>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타워크레인 설치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조립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해체 작업은 작업계획서 작성 대상이다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</si>
  <si>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타워크레인 설치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해체 작업이 대상이에요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</si>
  <si>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높이 </t>
    </r>
    <r>
      <rPr>
        <sz val="10"/>
        <rFont val="Arial"/>
        <family val="0"/>
        <charset val="1"/>
      </rPr>
      <t xml:space="preserve">5m </t>
    </r>
    <r>
      <rPr>
        <sz val="10"/>
        <rFont val="Noto Sans CJK SC"/>
        <family val="2"/>
      </rPr>
      <t xml:space="preserve">이상 또는 최대지간 </t>
    </r>
    <r>
      <rPr>
        <sz val="10"/>
        <rFont val="Arial"/>
        <family val="0"/>
        <charset val="1"/>
      </rPr>
      <t xml:space="preserve">30m </t>
    </r>
    <r>
      <rPr>
        <sz val="10"/>
        <rFont val="Noto Sans CJK SC"/>
        <family val="2"/>
      </rPr>
      <t xml:space="preserve">이상 교량의 상부구조 설치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해체 작업은 작업계획서 대상이다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</si>
  <si>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교량작업 작업계획서 대상 기준이에요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</si>
  <si>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구축물 해체작업은 작업계획서 작성 대상이다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</si>
  <si>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건물 등 해체작업이 대상이에요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</si>
  <si>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터널 굴착작업은 작업계획서 작성 대상이다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</si>
  <si>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터널 굴착작업이 대상이에요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</si>
  <si>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차량계 건설기계 작업계획서에는 기계의 종류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능력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운행경로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작업방법이 포함돼야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</si>
  <si>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세 항목이 필수 내용이에요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</si>
  <si>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안전보건규칙 별표</t>
    </r>
    <r>
      <rPr>
        <sz val="10"/>
        <rFont val="Arial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</si>
  <si>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선임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보고</t>
    </r>
  </si>
  <si>
    <r>
      <rPr>
        <sz val="10"/>
        <rFont val="Noto Sans CJK SC"/>
        <family val="2"/>
      </rPr>
      <t xml:space="preserve">안전관리자를 선임하면 선임일부터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일 이내에 지방고용노동관서에 보고해야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</si>
  <si>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선임 보고 기한은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일이에요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</si>
  <si>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시행령 제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</si>
  <si>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안전관리자 선임 보고 기한은 선임일부터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 이내다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</si>
  <si>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일 이내예요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</si>
  <si>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안전관리자는 선임 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개월 이내에 신규 직무교육을 받아야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</si>
  <si>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신규교육은 선임 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개월 이내예요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</si>
  <si>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시행규칙 제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</si>
  <si>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안전관리자 보수교육은 신규교육 이수 후 매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년마다 받는다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</si>
  <si>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년마다 보수교육이에요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</si>
  <si>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안전관리자 보수교육 주기는 매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</si>
  <si>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매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</si>
  <si>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건설업은 공사금액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억원 이상 현장부터 안전관리자를 선임해야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</si>
  <si>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2023.7.1</t>
    </r>
    <r>
      <rPr>
        <sz val="10"/>
        <rFont val="Noto Sans CJK SC"/>
        <family val="2"/>
      </rPr>
      <t xml:space="preserve">부터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억원 이상으로 확대됐어요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</si>
  <si>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시행령 별표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</si>
  <si>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공사금액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억원 이상 건설업 사업장은 안전보건관리책임자를 둬야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</si>
  <si>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건설업 안전보건관리책임자 기준은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억원 이상이에요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</si>
  <si>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시행령 별표</t>
    </r>
    <r>
      <rPr>
        <sz val="10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</si>
  <si>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도급 건설공사의 안전보건총괄책임자 지정 대상은 공사금액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억원 이상이다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</si>
  <si>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관계수급인 공사금액 포함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억원 이상이에요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</si>
  <si>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시행령 제</t>
    </r>
    <r>
      <rPr>
        <sz val="10"/>
        <rFont val="Arial"/>
        <family val="0"/>
        <charset val="1"/>
      </rPr>
      <t xml:space="preserve">52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</si>
  <si>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안전보건관리규정은 작성 사유가 발생한 날부터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일 이내에 작성하면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</si>
  <si>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 이내에 작성해야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</si>
  <si>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시행규칙 제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</si>
  <si>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건설업 안전보건관리규정 작성 대상은 상시근로자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명 이상 사업장이다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</si>
  <si>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상시근로자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명 이상이 대상이에요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</si>
  <si>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시행규칙 별표</t>
    </r>
    <r>
      <rPr>
        <sz val="10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</si>
  <si>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회의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점검</t>
    </r>
  </si>
  <si>
    <r>
      <rPr>
        <sz val="10"/>
        <rFont val="Noto Sans CJK SC"/>
        <family val="2"/>
      </rPr>
      <t xml:space="preserve">산업안전보건위원회 정기회의는 분기마다 개최한다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</si>
  <si>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정기회의는 분기마다예요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</si>
  <si>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시행령 제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</si>
  <si>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산업안전보건위원회 회의록은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년간 보존해야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</si>
  <si>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회의록 보존기간은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</si>
  <si>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Arial"/>
        <family val="0"/>
        <charset val="1"/>
      </rPr>
      <t xml:space="preserve">164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</si>
  <si>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노사협의체 정기회의는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개월마다 개최한다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</si>
  <si>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노사협의체는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개월마다예요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</si>
  <si>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시행령 제</t>
    </r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</si>
  <si>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노사협의체 정기회의는 분기마다 개최한다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</si>
  <si>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개월마다예요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분기마다는 산업안전보건위원회예요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</si>
  <si>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도급인과 관계수급인으로 구성된 안전보건협의체 회의는 격월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 개최하면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</si>
  <si>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협의체 회의는 매월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</si>
  <si>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시행규칙 제</t>
    </r>
    <r>
      <rPr>
        <sz val="10"/>
        <rFont val="Arial"/>
        <family val="0"/>
        <charset val="1"/>
      </rPr>
      <t xml:space="preserve">79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</si>
  <si>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건설업 도급인은 관계수급인 등과 합동 안전보건점검을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개월에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 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</si>
  <si>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건설업 합동점검은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개월에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</si>
  <si>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시행규칙 제</t>
    </r>
    <r>
      <rPr>
        <sz val="10"/>
        <rFont val="Arial"/>
        <family val="0"/>
        <charset val="1"/>
      </rPr>
      <t xml:space="preserve">82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</si>
  <si>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건설업 합동 안전보건점검 주기는 분기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</si>
  <si>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개월에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</si>
  <si>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건설업 도급인은 관계수급인 작업장을 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 순회점검하면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</si>
  <si>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건설업 순회점검은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일에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</si>
  <si>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시행규칙 제</t>
    </r>
    <r>
      <rPr>
        <sz val="10"/>
        <rFont val="Arial"/>
        <family val="0"/>
        <charset val="1"/>
      </rPr>
      <t xml:space="preserve">80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</si>
  <si>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공사금액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억원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토목 </t>
    </r>
    <r>
      <rPr>
        <sz val="10"/>
        <rFont val="Arial"/>
        <family val="0"/>
        <charset val="1"/>
      </rPr>
      <t xml:space="preserve">150</t>
    </r>
    <r>
      <rPr>
        <sz val="10"/>
        <rFont val="Noto Sans CJK SC"/>
        <family val="2"/>
      </rPr>
      <t xml:space="preserve">억원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이상 건설공사는 산업안전보건위원회 설치 대상이다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</si>
  <si>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건설업 산업안전보건위원회 기준이에요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</si>
  <si>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시행령 별표</t>
    </r>
    <r>
      <rPr>
        <sz val="10"/>
        <rFont val="Arial"/>
        <family val="0"/>
        <charset val="1"/>
      </rPr>
      <t xml:space="preserve">9</t>
    </r>
  </si>
  <si>
    <r>
      <rPr>
        <sz val="10"/>
        <rFont val="Noto Sans CJK SC"/>
        <family val="2"/>
      </rPr>
      <t xml:space="preserve">노사협의체 구성 대상은 공사금액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억원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토목 </t>
    </r>
    <r>
      <rPr>
        <sz val="10"/>
        <rFont val="Arial"/>
        <family val="0"/>
        <charset val="1"/>
      </rPr>
      <t xml:space="preserve">150</t>
    </r>
    <r>
      <rPr>
        <sz val="10"/>
        <rFont val="Noto Sans CJK SC"/>
        <family val="2"/>
      </rPr>
      <t xml:space="preserve">억원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이상 건설공사다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</si>
  <si>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노사협의체 대상 기준이에요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</si>
  <si>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시행령 제</t>
    </r>
    <r>
      <rPr>
        <sz val="10"/>
        <rFont val="Arial"/>
        <family val="0"/>
        <charset val="1"/>
      </rPr>
      <t xml:space="preserve">63</t>
    </r>
    <r>
      <rPr>
        <sz val="10"/>
        <rFont val="Noto Sans CJK SC"/>
        <family val="2"/>
      </rPr>
      <t xml:space="preserve">조</t>
    </r>
  </si>
  <si>
    <t xml:space="preserve">안전교육</t>
  </si>
  <si>
    <r>
      <rPr>
        <sz val="10"/>
        <rFont val="Noto Sans CJK SC"/>
        <family val="2"/>
      </rPr>
      <t xml:space="preserve">건설업 기초안전보건교육은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시간이다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</si>
  <si>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건설 일용근로자가 처음 받는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시간 교육이에요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</si>
  <si>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시행규칙 별표</t>
    </r>
    <r>
      <rPr>
        <sz val="10"/>
        <rFont val="Arial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</si>
  <si>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관리감독자 정기교육은 연간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시간 이상이다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</si>
  <si>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관리감독자는 연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시간 이상이에요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</si>
  <si>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사무직 외 근로자의 정기교육은 매반기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시간 이상이다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</si>
  <si>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사무직은 매반기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시간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밖의 근로자는 매반기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시간 이상이에요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</si>
  <si>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사무직 외 근로자의 정기교육은 매분기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시간 이상이다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</si>
  <si>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매반기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시간 이상이에요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</si>
  <si>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일용근로자 채용 시 교육은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시간 이상이다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</si>
  <si>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일용근로자 채용 시 교육은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시간 이상이에요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</si>
  <si>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일용근로자가 아닌 근로자의 채용 시 교육은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시간 이상이다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</si>
  <si>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시간 이상이에요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</si>
  <si>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특별교육 대상 작업에 종사하는 일용근로자의 특별교육은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시간 이상이다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</si>
  <si>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일용근로자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시간 이상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타워크레인 신호작업은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시간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</si>
  <si>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특별교육 대상 작업에 종사하는 일반 근로자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일용 제외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특별교육은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시간 이상이다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</si>
  <si>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시간 이상이에요</t>
    </r>
    <r>
      <rPr>
        <sz val="10"/>
        <rFont val="Arial"/>
        <family val="0"/>
        <charset val="1"/>
      </rPr>
      <t xml:space="preserve">.</t>
    </r>
  </si>
  <si>
    <t xml:space="preserve">재해보고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</si>
  <si>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일 이상 휴업 산업재해는 발생일로부터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개월 이내에 산업재해조사표를 제출해야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</si>
  <si>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개월 이내 제출이에요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</si>
  <si>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시행규칙 제</t>
    </r>
    <r>
      <rPr>
        <sz val="10"/>
        <rFont val="Arial"/>
        <family val="0"/>
        <charset val="1"/>
      </rPr>
      <t xml:space="preserve">73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</si>
  <si>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산업재해조사표 제출 기한은 재해 발생일로부터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 이내다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</si>
  <si>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개월 이내예요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</si>
  <si>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산업재해조사표는 근로자대표의 확인을 받아야 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근로자대표가 없으면 재해자 본인의 확인을 받는다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</si>
  <si>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근로자대표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없으면 재해자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확인이 필요해요</t>
    </r>
    <r>
      <rPr>
        <sz val="10"/>
        <rFont val="Arial"/>
        <family val="0"/>
        <charset val="1"/>
      </rPr>
      <t xml:space="preserve">.</t>
    </r>
  </si>
  <si>
    <t xml:space="preserve">서류보존</t>
  </si>
  <si>
    <r>
      <rPr>
        <sz val="10"/>
        <rFont val="Noto Sans CJK SC"/>
        <family val="2"/>
      </rPr>
      <t xml:space="preserve">산업재해 발생 원인 등 기록은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년간 보존해야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</si>
  <si>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산업재해 기록 보존기간은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</si>
  <si>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시행규칙 제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</si>
  <si>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안전관리자 등의 선임 관련 서류는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년간 보존해야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</si>
  <si>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선임 서류 보존기간은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</si>
  <si>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일반건강진단 결과표는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년간 보존하면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</si>
  <si>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건강진단 결과는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년 보존이에요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발암성물질 관련은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</si>
  <si>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산업안전보건법 시행규칙 제</t>
    </r>
    <r>
      <rPr>
        <sz val="10"/>
        <rFont val="Arial"/>
        <family val="0"/>
        <charset val="1"/>
      </rPr>
      <t xml:space="preserve">241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</si>
  <si>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작업환경측정 결과 서류는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년간 보존해야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</si>
  <si>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년 보존이에요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고용노동부장관 고시 발암성 물질은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</si>
  <si>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작업환경측정은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 실시하면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</si>
  <si>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정기 측정은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개월에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</si>
  <si>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시행규칙 제</t>
    </r>
    <r>
      <rPr>
        <sz val="10"/>
        <rFont val="Arial"/>
        <family val="0"/>
        <charset val="1"/>
      </rPr>
      <t xml:space="preserve">190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</si>
  <si>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작업환경측정 결과는 시료채취 완료일부터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 이내에 관할 관서에 보고한다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</si>
  <si>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 이내 보고예요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</si>
  <si>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시행규칙 제</t>
    </r>
    <r>
      <rPr>
        <sz val="10"/>
        <rFont val="Arial"/>
        <family val="0"/>
        <charset val="1"/>
      </rPr>
      <t xml:space="preserve">188</t>
    </r>
    <r>
      <rPr>
        <sz val="10"/>
        <rFont val="Noto Sans CJK SC"/>
        <family val="2"/>
      </rPr>
      <t xml:space="preserve">조</t>
    </r>
  </si>
  <si>
    <t xml:space="preserve">중대재해처벌법</t>
  </si>
  <si>
    <r>
      <rPr>
        <sz val="10"/>
        <rFont val="Noto Sans CJK SC"/>
        <family val="2"/>
      </rPr>
      <t xml:space="preserve">경영책임자는 유해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위험요인 확인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개선 절차가 이행되는지 반기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 점검해야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</si>
  <si>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반기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 점검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필요 조치예요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</si>
  <si>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중대재해처벌법 시행령 제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</si>
  <si>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경영책임자는 안전보건관리책임자 등의 업무 수행을 반기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 평가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관리해야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</si>
  <si>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반기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 평가 기준을 마련해 평가해요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</si>
  <si>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중대재해처벌법상 안전보건 이행 점검 주기는 분기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</si>
  <si>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시행령에 정한 점검 주기는 반기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</si>
  <si>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시공능력 순위 상위 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위 이내 건설사업자는 안전보건 전담조직을 둬야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</si>
  <si>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상시근로자 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명 이상 또는 시공능력 </t>
    </r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위 이내 건설사가 대상이에요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</si>
  <si>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도급 시 수급인의 안전보건 관리 역량을 판단하는 기준과 절차를 마련해야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</si>
  <si>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용역 시 역량 평가 기준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관리비용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공기 기준을 마련해요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</si>
  <si>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중대산업재해 대비 비상 매뉴얼을 마련하고 반기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 점검해야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</si>
  <si>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작업중지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구호 조치 매뉴얼을 반기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 점검해요</t>
    </r>
    <r>
      <rPr>
        <sz val="10"/>
        <rFont val="Arial"/>
        <family val="0"/>
        <charset val="1"/>
      </rPr>
      <t xml:space="preserve">.</t>
    </r>
  </si>
  <si>
    <t xml:space="preserve">건설기술진흥법</t>
  </si>
  <si>
    <r>
      <rPr>
        <sz val="10"/>
        <rFont val="Noto Sans CJK SC"/>
        <family val="2"/>
      </rPr>
      <t xml:space="preserve">지하 </t>
    </r>
    <r>
      <rPr>
        <sz val="10"/>
        <rFont val="Arial"/>
        <family val="0"/>
        <charset val="1"/>
      </rPr>
      <t xml:space="preserve">10m </t>
    </r>
    <r>
      <rPr>
        <sz val="10"/>
        <rFont val="Noto Sans CJK SC"/>
        <family val="2"/>
      </rPr>
      <t xml:space="preserve">이상을 굴착하는 건설공사는 안전관리계획 수립 대상이다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</si>
  <si>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건설기술진흥법 시행령 제</t>
    </r>
    <r>
      <rPr>
        <sz val="10"/>
        <rFont val="Arial"/>
        <family val="0"/>
        <charset val="1"/>
      </rPr>
      <t xml:space="preserve">98</t>
    </r>
    <r>
      <rPr>
        <sz val="10"/>
        <rFont val="Noto Sans CJK SC"/>
        <family val="2"/>
      </rPr>
      <t xml:space="preserve">조</t>
    </r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</si>
  <si>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층 이상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층 미만 건축물 건설공사는 안전관리계획 수립 대상이다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</si>
  <si>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10~16</t>
    </r>
    <r>
      <rPr>
        <sz val="10"/>
        <rFont val="Noto Sans CJK SC"/>
        <family val="2"/>
      </rPr>
      <t xml:space="preserve">층 미만 건축물도 대상이에요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</si>
  <si>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안전관리계획은 착공 후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 이내에 제출하면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</si>
  <si>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착공 전에 발주청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인허가기관에 제출해 승인받아야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</si>
  <si>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건설기술진흥법 제</t>
    </r>
    <r>
      <rPr>
        <sz val="10"/>
        <rFont val="Arial"/>
        <family val="0"/>
        <charset val="1"/>
      </rPr>
      <t xml:space="preserve">62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</si>
  <si>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건설기술진흥법상 건설사업자는 매일 공사 착수 전 근로자에게 안전교육을 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</si>
  <si>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분야별 안전관리책임자 등이 매일 착수 전 안전교육을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</si>
  <si>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건설기술진흥법 시행령 제</t>
    </r>
    <r>
      <rPr>
        <sz val="10"/>
        <rFont val="Arial"/>
        <family val="0"/>
        <charset val="1"/>
      </rPr>
      <t xml:space="preserve">103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</si>
  <si>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높이 </t>
    </r>
    <r>
      <rPr>
        <sz val="10"/>
        <rFont val="Arial"/>
        <family val="0"/>
        <charset val="1"/>
      </rPr>
      <t xml:space="preserve">20m </t>
    </r>
    <r>
      <rPr>
        <sz val="10"/>
        <rFont val="Noto Sans CJK SC"/>
        <family val="2"/>
      </rPr>
      <t xml:space="preserve">이상 비계는 관계전문가의 구조적 안전성 확인 대상이다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</si>
  <si>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31m </t>
    </r>
    <r>
      <rPr>
        <sz val="10"/>
        <rFont val="Noto Sans CJK SC"/>
        <family val="2"/>
      </rPr>
      <t xml:space="preserve">이상 비계가 대상이에요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</si>
  <si>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건설기술진흥법 시행령 제</t>
    </r>
    <r>
      <rPr>
        <sz val="10"/>
        <rFont val="Arial"/>
        <family val="0"/>
        <charset val="1"/>
      </rPr>
      <t xml:space="preserve">101</t>
    </r>
    <r>
      <rPr>
        <sz val="10"/>
        <rFont val="Noto Sans CJK SC"/>
        <family val="2"/>
      </rPr>
      <t xml:space="preserve">조의</t>
    </r>
    <r>
      <rPr>
        <sz val="10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</si>
  <si>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높이 </t>
    </r>
    <r>
      <rPr>
        <sz val="10"/>
        <rFont val="Arial"/>
        <family val="0"/>
        <charset val="1"/>
      </rPr>
      <t xml:space="preserve">5m </t>
    </r>
    <r>
      <rPr>
        <sz val="10"/>
        <rFont val="Noto Sans CJK SC"/>
        <family val="2"/>
      </rPr>
      <t xml:space="preserve">이상 거푸집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동바리는 관계전문가의 구조적 안전성 확인 대상이다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</si>
  <si>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5m </t>
    </r>
    <r>
      <rPr>
        <sz val="10"/>
        <rFont val="Noto Sans CJK SC"/>
        <family val="2"/>
      </rPr>
      <t xml:space="preserve">이상 거푸집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동바리가 대상이에요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</si>
  <si>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높이 </t>
    </r>
    <r>
      <rPr>
        <sz val="10"/>
        <rFont val="Arial"/>
        <family val="0"/>
        <charset val="1"/>
      </rPr>
      <t xml:space="preserve">2m </t>
    </r>
    <r>
      <rPr>
        <sz val="10"/>
        <rFont val="Noto Sans CJK SC"/>
        <family val="2"/>
      </rPr>
      <t xml:space="preserve">이상 흙막이 지보공은 관계전문가의 구조적 안전성 확인 대상이다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</si>
  <si>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2m </t>
    </r>
    <r>
      <rPr>
        <sz val="10"/>
        <rFont val="Noto Sans CJK SC"/>
        <family val="2"/>
      </rPr>
      <t xml:space="preserve">이상 흙막이 지보공이 대상이에요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</si>
  <si>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설계안전성검토</t>
    </r>
    <r>
      <rPr>
        <sz val="10"/>
        <rFont val="Arial"/>
        <family val="0"/>
        <charset val="1"/>
      </rPr>
      <t xml:space="preserve">(DFS)</t>
    </r>
    <r>
      <rPr>
        <sz val="10"/>
        <rFont val="Noto Sans CJK SC"/>
        <family val="2"/>
      </rPr>
      <t xml:space="preserve">는 안전관리계획 수립 대상 공사의 실시설계 때 수행한다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</si>
  <si>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실시설계 단계에서 위험요소를 줄이는 제도예요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</si>
  <si>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건설기술진흥법 시행령 제</t>
    </r>
    <r>
      <rPr>
        <sz val="10"/>
        <rFont val="Arial"/>
        <family val="0"/>
        <charset val="1"/>
      </rPr>
      <t xml:space="preserve">75</t>
    </r>
    <r>
      <rPr>
        <sz val="10"/>
        <rFont val="Noto Sans CJK SC"/>
        <family val="2"/>
      </rPr>
      <t xml:space="preserve">조의</t>
    </r>
    <r>
      <rPr>
        <sz val="10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</si>
  <si>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건설기술진흥법의 안전관리비와 산업안전보건법의 산업안전보건관리비는 같은 비용이다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</si>
  <si>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근거 법령과 용도가 다른 별개 비용이에요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</si>
  <si>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건설기술진흥법 제</t>
    </r>
    <r>
      <rPr>
        <sz val="10"/>
        <rFont val="Arial"/>
        <family val="0"/>
        <charset val="1"/>
      </rPr>
      <t xml:space="preserve">63</t>
    </r>
    <r>
      <rPr>
        <sz val="10"/>
        <rFont val="Noto Sans CJK SC"/>
        <family val="2"/>
      </rPr>
      <t xml:space="preserve">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산업안전보건법 제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</rPr>
      <t xml:space="preserve">조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</si>
  <si>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종</t>
    </r>
    <r>
      <rPr>
        <sz val="10"/>
        <rFont val="Arial"/>
        <family val="0"/>
        <charset val="1"/>
      </rPr>
      <t xml:space="preserve">·2</t>
    </r>
    <r>
      <rPr>
        <sz val="10"/>
        <rFont val="Noto Sans CJK SC"/>
        <family val="2"/>
      </rPr>
      <t xml:space="preserve">종 시설물 건설공사는 건설기술진흥법상 안전관리계획 수립 대상이다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</si>
  <si>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1·2</t>
    </r>
    <r>
      <rPr>
        <sz val="10"/>
        <rFont val="Noto Sans CJK SC"/>
        <family val="2"/>
      </rPr>
      <t xml:space="preserve">종 시설물 건설공사는 대상이에요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</si>
  <si>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안전보건관리책임자는 선임 후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개월 이내에 신규 직무교육을 받으면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</si>
  <si>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선임 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개월 이내에 받아야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</si>
  <si>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시행규칙 제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조</t>
    </r>
  </si>
  <si>
    <t xml:space="preserve">기술지도</t>
  </si>
  <si>
    <r>
      <rPr>
        <sz val="10"/>
        <rFont val="Noto Sans CJK SC"/>
        <family val="2"/>
      </rPr>
      <t xml:space="preserve">공사금액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억원 이상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억원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토목 </t>
    </r>
    <r>
      <rPr>
        <sz val="10"/>
        <rFont val="Arial"/>
        <family val="0"/>
        <charset val="1"/>
      </rPr>
      <t xml:space="preserve">150</t>
    </r>
    <r>
      <rPr>
        <sz val="10"/>
        <rFont val="Noto Sans CJK SC"/>
        <family val="2"/>
      </rPr>
      <t xml:space="preserve">억원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미만 공사는 건설재해예방전문지도기관의 기술지도를 받아야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</si>
  <si>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해당 규모 공사는 기술지도 계약 대상이에요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</si>
  <si>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시행령 제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</si>
  <si>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건설재해예방 기술지도는 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 이상 실시한다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</si>
  <si>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기술지도 횟수는 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 이상이에요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</si>
  <si>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산업안전보건법 시행령 별표</t>
    </r>
    <r>
      <rPr>
        <sz val="10"/>
        <rFont val="Arial"/>
        <family val="0"/>
        <charset val="1"/>
      </rPr>
      <t xml:space="preserve">18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</si>
</sst>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Noto Sans CJK SC"/>
      <family val="2"/>
    </font>
    <font>
      <sz val="1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color rgb="FF2E7D32"/>
      <name val="Arial"/>
      <family val="0"/>
      <charset val="1"/>
    </font>
    <font>
      <b val="true"/>
      <sz val="11"/>
      <color rgb="FFD9302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68"/>
        <bgColor rgb="FF33339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6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D93025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68"/>
      <rgbColor rgb="FF2E7D32"/>
      <rgbColor rgb="FF003300"/>
      <rgbColor rgb="FF333300"/>
      <rgbColor rgb="FFD93025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2" min="2" style="0" width="12"/>
  </cols>
  <sheetData>
    <row r="1" customFormat="false" ht="21.6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2"/>
    </row>
    <row r="4" customFormat="false" ht="17.15" hidden="false" customHeight="false" outlineLevel="0" collapsed="false">
      <c r="A4" s="2" t="s">
        <v>2</v>
      </c>
      <c r="B4" s="2"/>
    </row>
    <row r="5" customFormat="false" ht="17.15" hidden="false" customHeight="false" outlineLevel="0" collapsed="false">
      <c r="A5" s="2" t="s">
        <v>3</v>
      </c>
      <c r="B5" s="2"/>
    </row>
    <row r="6" customFormat="false" ht="17.15" hidden="false" customHeight="false" outlineLevel="0" collapsed="false">
      <c r="A6" s="2" t="s">
        <v>4</v>
      </c>
      <c r="B6" s="2"/>
    </row>
    <row r="7" customFormat="false" ht="17.15" hidden="false" customHeight="false" outlineLevel="0" collapsed="false">
      <c r="A7" s="2" t="s">
        <v>5</v>
      </c>
      <c r="B7" s="2"/>
    </row>
    <row r="8" customFormat="false" ht="15" hidden="false" customHeight="false" outlineLevel="0" collapsed="false">
      <c r="A8" s="2"/>
      <c r="B8" s="2"/>
    </row>
    <row r="9" customFormat="false" ht="15" hidden="false" customHeight="false" outlineLevel="0" collapsed="false">
      <c r="A9" s="3" t="s">
        <v>6</v>
      </c>
      <c r="B9" s="2"/>
    </row>
    <row r="10" customFormat="false" ht="17.15" hidden="false" customHeight="false" outlineLevel="0" collapsed="false">
      <c r="A10" s="2" t="s">
        <v>7</v>
      </c>
      <c r="B10" s="2"/>
    </row>
    <row r="11" customFormat="false" ht="17.15" hidden="false" customHeight="false" outlineLevel="0" collapsed="false">
      <c r="A11" s="2" t="s">
        <v>8</v>
      </c>
      <c r="B11" s="2"/>
    </row>
    <row r="12" customFormat="false" ht="15" hidden="false" customHeight="false" outlineLevel="0" collapsed="false">
      <c r="A12" s="2"/>
      <c r="B12" s="2"/>
    </row>
    <row r="13" customFormat="false" ht="15" hidden="false" customHeight="false" outlineLevel="0" collapsed="false">
      <c r="A13" s="3" t="s">
        <v>9</v>
      </c>
      <c r="B13" s="2"/>
    </row>
    <row r="14" customFormat="false" ht="15" hidden="false" customHeight="false" outlineLevel="0" collapsed="false">
      <c r="A14" s="4" t="s">
        <v>10</v>
      </c>
      <c r="B14" s="2" t="n">
        <f aca="false">COUNTA(퀴즈!C2:C101)</f>
        <v>100</v>
      </c>
    </row>
    <row r="15" customFormat="false" ht="17.15" hidden="false" customHeight="false" outlineLevel="0" collapsed="false">
      <c r="A15" s="4" t="s">
        <v>11</v>
      </c>
      <c r="B15" s="2" t="n">
        <f aca="false">COUNTIF(퀴즈!D2:D101,"O")</f>
        <v>58</v>
      </c>
    </row>
    <row r="16" customFormat="false" ht="17.15" hidden="false" customHeight="false" outlineLevel="0" collapsed="false">
      <c r="A16" s="4" t="s">
        <v>12</v>
      </c>
      <c r="B16" s="2" t="n">
        <f aca="false">COUNTIF(퀴즈!D2:D101,"X")</f>
        <v>42</v>
      </c>
    </row>
    <row r="17" customFormat="false" ht="15" hidden="false" customHeight="false" outlineLevel="0" collapsed="false">
      <c r="A17" s="4" t="s">
        <v>13</v>
      </c>
      <c r="B17" s="2" t="n">
        <f aca="false">COUNTIF(퀴즈!G2:G101,"확인 권장")</f>
        <v>9</v>
      </c>
    </row>
    <row r="18" customFormat="false" ht="17.15" hidden="false" customHeight="false" outlineLevel="0" collapsed="false">
      <c r="A18" s="4" t="s">
        <v>14</v>
      </c>
      <c r="B18" s="2" t="n">
        <f aca="false">COUNTIF(퀴즈!H2:H101,"O")</f>
        <v>0</v>
      </c>
    </row>
    <row r="19" customFormat="false" ht="17.15" hidden="false" customHeight="false" outlineLevel="0" collapsed="false">
      <c r="A19" s="4" t="s">
        <v>15</v>
      </c>
      <c r="B19" s="2" t="n">
        <f aca="false">COUNTIF(퀴즈!H2:H101,"X")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7"/>
    <col collapsed="false" customWidth="true" hidden="false" outlineLevel="0" max="5" min="5" style="0" width="44"/>
    <col collapsed="false" customWidth="true" hidden="false" outlineLevel="0" max="6" min="6" style="0" width="30"/>
    <col collapsed="false" customWidth="true" hidden="false" outlineLevel="0" max="8" min="7" style="0" width="10"/>
    <col collapsed="false" customWidth="true" hidden="false" outlineLevel="0" max="9" min="9" style="0" width="24"/>
  </cols>
  <sheetData>
    <row r="1" customFormat="false" ht="29.85" hidden="false" customHeight="fals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</row>
    <row r="2" customFormat="false" ht="29.85" hidden="false" customHeight="false" outlineLevel="0" collapsed="false">
      <c r="A2" s="6" t="n">
        <v>1</v>
      </c>
      <c r="B2" s="7" t="s">
        <v>25</v>
      </c>
      <c r="C2" s="7" t="s">
        <v>26</v>
      </c>
      <c r="D2" s="8" t="s">
        <v>27</v>
      </c>
      <c r="E2" s="9" t="s">
        <v>28</v>
      </c>
      <c r="F2" s="7" t="s">
        <v>29</v>
      </c>
      <c r="G2" s="7" t="s">
        <v>30</v>
      </c>
      <c r="H2" s="10"/>
      <c r="I2" s="9"/>
    </row>
    <row r="3" customFormat="false" ht="15" hidden="false" customHeight="false" outlineLevel="0" collapsed="false">
      <c r="A3" s="6" t="n">
        <v>2</v>
      </c>
      <c r="B3" s="7" t="s">
        <v>25</v>
      </c>
      <c r="C3" s="7" t="s">
        <v>31</v>
      </c>
      <c r="D3" s="11" t="s">
        <v>32</v>
      </c>
      <c r="E3" s="9" t="s">
        <v>33</v>
      </c>
      <c r="F3" s="7" t="s">
        <v>29</v>
      </c>
      <c r="G3" s="7" t="s">
        <v>30</v>
      </c>
      <c r="H3" s="10"/>
      <c r="I3" s="9"/>
    </row>
    <row r="4" customFormat="false" ht="15" hidden="false" customHeight="false" outlineLevel="0" collapsed="false">
      <c r="A4" s="6" t="n">
        <v>3</v>
      </c>
      <c r="B4" s="7" t="s">
        <v>25</v>
      </c>
      <c r="C4" s="7" t="s">
        <v>34</v>
      </c>
      <c r="D4" s="8" t="s">
        <v>27</v>
      </c>
      <c r="E4" s="7" t="s">
        <v>35</v>
      </c>
      <c r="F4" s="7" t="s">
        <v>29</v>
      </c>
      <c r="G4" s="7" t="s">
        <v>30</v>
      </c>
      <c r="H4" s="10"/>
      <c r="I4" s="9"/>
    </row>
    <row r="5" customFormat="false" ht="15" hidden="false" customHeight="false" outlineLevel="0" collapsed="false">
      <c r="A5" s="6" t="n">
        <v>4</v>
      </c>
      <c r="B5" s="7" t="s">
        <v>25</v>
      </c>
      <c r="C5" s="7" t="s">
        <v>36</v>
      </c>
      <c r="D5" s="11" t="s">
        <v>32</v>
      </c>
      <c r="E5" s="7" t="s">
        <v>37</v>
      </c>
      <c r="F5" s="7" t="s">
        <v>29</v>
      </c>
      <c r="G5" s="7" t="s">
        <v>30</v>
      </c>
      <c r="H5" s="10"/>
      <c r="I5" s="9"/>
    </row>
    <row r="6" customFormat="false" ht="29.85" hidden="false" customHeight="false" outlineLevel="0" collapsed="false">
      <c r="A6" s="6" t="n">
        <v>5</v>
      </c>
      <c r="B6" s="7" t="s">
        <v>25</v>
      </c>
      <c r="C6" s="7" t="s">
        <v>38</v>
      </c>
      <c r="D6" s="11" t="s">
        <v>32</v>
      </c>
      <c r="E6" s="7" t="s">
        <v>39</v>
      </c>
      <c r="F6" s="7" t="s">
        <v>29</v>
      </c>
      <c r="G6" s="7" t="s">
        <v>30</v>
      </c>
      <c r="H6" s="10"/>
      <c r="I6" s="9"/>
    </row>
    <row r="7" customFormat="false" ht="15" hidden="false" customHeight="false" outlineLevel="0" collapsed="false">
      <c r="A7" s="6" t="n">
        <v>6</v>
      </c>
      <c r="B7" s="7" t="s">
        <v>25</v>
      </c>
      <c r="C7" s="7" t="s">
        <v>40</v>
      </c>
      <c r="D7" s="8" t="s">
        <v>27</v>
      </c>
      <c r="E7" s="7" t="s">
        <v>41</v>
      </c>
      <c r="F7" s="7" t="s">
        <v>42</v>
      </c>
      <c r="G7" s="7" t="s">
        <v>30</v>
      </c>
      <c r="H7" s="10"/>
      <c r="I7" s="9"/>
    </row>
    <row r="8" customFormat="false" ht="15" hidden="false" customHeight="false" outlineLevel="0" collapsed="false">
      <c r="A8" s="6" t="n">
        <v>7</v>
      </c>
      <c r="B8" s="7" t="s">
        <v>25</v>
      </c>
      <c r="C8" s="7" t="s">
        <v>43</v>
      </c>
      <c r="D8" s="11" t="s">
        <v>32</v>
      </c>
      <c r="E8" s="9" t="s">
        <v>44</v>
      </c>
      <c r="F8" s="7" t="s">
        <v>42</v>
      </c>
      <c r="G8" s="7" t="s">
        <v>30</v>
      </c>
      <c r="H8" s="10"/>
      <c r="I8" s="9"/>
    </row>
    <row r="9" customFormat="false" ht="29.85" hidden="false" customHeight="false" outlineLevel="0" collapsed="false">
      <c r="A9" s="6" t="n">
        <v>8</v>
      </c>
      <c r="B9" s="7" t="s">
        <v>25</v>
      </c>
      <c r="C9" s="7" t="s">
        <v>45</v>
      </c>
      <c r="D9" s="8" t="s">
        <v>27</v>
      </c>
      <c r="E9" s="7" t="s">
        <v>46</v>
      </c>
      <c r="F9" s="7" t="s">
        <v>42</v>
      </c>
      <c r="G9" s="7" t="s">
        <v>30</v>
      </c>
      <c r="H9" s="10"/>
      <c r="I9" s="9"/>
    </row>
    <row r="10" customFormat="false" ht="29.85" hidden="false" customHeight="false" outlineLevel="0" collapsed="false">
      <c r="A10" s="6" t="n">
        <v>9</v>
      </c>
      <c r="B10" s="7" t="s">
        <v>25</v>
      </c>
      <c r="C10" s="7" t="s">
        <v>47</v>
      </c>
      <c r="D10" s="8" t="s">
        <v>27</v>
      </c>
      <c r="E10" s="7" t="s">
        <v>48</v>
      </c>
      <c r="F10" s="7" t="s">
        <v>29</v>
      </c>
      <c r="G10" s="7" t="s">
        <v>30</v>
      </c>
      <c r="H10" s="10"/>
      <c r="I10" s="9"/>
    </row>
    <row r="11" customFormat="false" ht="15" hidden="false" customHeight="false" outlineLevel="0" collapsed="false">
      <c r="A11" s="6" t="n">
        <v>10</v>
      </c>
      <c r="B11" s="7" t="s">
        <v>25</v>
      </c>
      <c r="C11" s="7" t="s">
        <v>49</v>
      </c>
      <c r="D11" s="11" t="s">
        <v>32</v>
      </c>
      <c r="E11" s="9" t="s">
        <v>50</v>
      </c>
      <c r="F11" s="7" t="s">
        <v>29</v>
      </c>
      <c r="G11" s="7" t="s">
        <v>30</v>
      </c>
      <c r="H11" s="10"/>
      <c r="I11" s="9"/>
    </row>
    <row r="12" customFormat="false" ht="29.85" hidden="false" customHeight="false" outlineLevel="0" collapsed="false">
      <c r="A12" s="6" t="n">
        <v>11</v>
      </c>
      <c r="B12" s="7" t="s">
        <v>25</v>
      </c>
      <c r="C12" s="9" t="s">
        <v>51</v>
      </c>
      <c r="D12" s="8" t="s">
        <v>27</v>
      </c>
      <c r="E12" s="7" t="s">
        <v>52</v>
      </c>
      <c r="F12" s="7" t="s">
        <v>53</v>
      </c>
      <c r="G12" s="7" t="s">
        <v>30</v>
      </c>
      <c r="H12" s="10"/>
      <c r="I12" s="9"/>
    </row>
    <row r="13" customFormat="false" ht="29.85" hidden="false" customHeight="false" outlineLevel="0" collapsed="false">
      <c r="A13" s="6" t="n">
        <v>12</v>
      </c>
      <c r="B13" s="7" t="s">
        <v>25</v>
      </c>
      <c r="C13" s="7" t="s">
        <v>54</v>
      </c>
      <c r="D13" s="8" t="s">
        <v>27</v>
      </c>
      <c r="E13" s="7" t="s">
        <v>55</v>
      </c>
      <c r="F13" s="7" t="s">
        <v>56</v>
      </c>
      <c r="G13" s="12" t="s">
        <v>13</v>
      </c>
      <c r="H13" s="10"/>
      <c r="I13" s="9"/>
    </row>
    <row r="14" customFormat="false" ht="29.85" hidden="false" customHeight="false" outlineLevel="0" collapsed="false">
      <c r="A14" s="6" t="n">
        <v>13</v>
      </c>
      <c r="B14" s="7" t="s">
        <v>57</v>
      </c>
      <c r="C14" s="7" t="s">
        <v>58</v>
      </c>
      <c r="D14" s="8" t="s">
        <v>27</v>
      </c>
      <c r="E14" s="7" t="s">
        <v>59</v>
      </c>
      <c r="F14" s="7" t="s">
        <v>60</v>
      </c>
      <c r="G14" s="7" t="s">
        <v>30</v>
      </c>
      <c r="H14" s="10"/>
      <c r="I14" s="9"/>
    </row>
    <row r="15" customFormat="false" ht="29.85" hidden="false" customHeight="false" outlineLevel="0" collapsed="false">
      <c r="A15" s="6" t="n">
        <v>14</v>
      </c>
      <c r="B15" s="7" t="s">
        <v>57</v>
      </c>
      <c r="C15" s="7" t="s">
        <v>61</v>
      </c>
      <c r="D15" s="11" t="s">
        <v>32</v>
      </c>
      <c r="E15" s="7" t="s">
        <v>62</v>
      </c>
      <c r="F15" s="7" t="s">
        <v>60</v>
      </c>
      <c r="G15" s="12" t="s">
        <v>13</v>
      </c>
      <c r="H15" s="10"/>
      <c r="I15" s="9"/>
    </row>
    <row r="16" customFormat="false" ht="15" hidden="false" customHeight="false" outlineLevel="0" collapsed="false">
      <c r="A16" s="6" t="n">
        <v>15</v>
      </c>
      <c r="B16" s="7" t="s">
        <v>57</v>
      </c>
      <c r="C16" s="7" t="s">
        <v>63</v>
      </c>
      <c r="D16" s="8" t="s">
        <v>27</v>
      </c>
      <c r="E16" s="7" t="s">
        <v>64</v>
      </c>
      <c r="F16" s="7" t="s">
        <v>65</v>
      </c>
      <c r="G16" s="7" t="s">
        <v>30</v>
      </c>
      <c r="H16" s="10"/>
      <c r="I16" s="9"/>
    </row>
    <row r="17" customFormat="false" ht="15" hidden="false" customHeight="false" outlineLevel="0" collapsed="false">
      <c r="A17" s="6" t="n">
        <v>16</v>
      </c>
      <c r="B17" s="7" t="s">
        <v>57</v>
      </c>
      <c r="C17" s="7" t="s">
        <v>66</v>
      </c>
      <c r="D17" s="11" t="s">
        <v>32</v>
      </c>
      <c r="E17" s="7" t="s">
        <v>67</v>
      </c>
      <c r="F17" s="7" t="s">
        <v>65</v>
      </c>
      <c r="G17" s="7" t="s">
        <v>30</v>
      </c>
      <c r="H17" s="10"/>
      <c r="I17" s="9"/>
    </row>
    <row r="18" customFormat="false" ht="29.85" hidden="false" customHeight="false" outlineLevel="0" collapsed="false">
      <c r="A18" s="6" t="n">
        <v>17</v>
      </c>
      <c r="B18" s="7" t="s">
        <v>57</v>
      </c>
      <c r="C18" s="7" t="s">
        <v>68</v>
      </c>
      <c r="D18" s="11" t="s">
        <v>32</v>
      </c>
      <c r="E18" s="7" t="s">
        <v>69</v>
      </c>
      <c r="F18" s="7" t="s">
        <v>70</v>
      </c>
      <c r="G18" s="7" t="s">
        <v>30</v>
      </c>
      <c r="H18" s="10"/>
      <c r="I18" s="9"/>
    </row>
    <row r="19" customFormat="false" ht="29.85" hidden="false" customHeight="false" outlineLevel="0" collapsed="false">
      <c r="A19" s="6" t="n">
        <v>18</v>
      </c>
      <c r="B19" s="7" t="s">
        <v>57</v>
      </c>
      <c r="C19" s="7" t="s">
        <v>71</v>
      </c>
      <c r="D19" s="11" t="s">
        <v>32</v>
      </c>
      <c r="E19" s="9" t="s">
        <v>72</v>
      </c>
      <c r="F19" s="7" t="s">
        <v>70</v>
      </c>
      <c r="G19" s="7" t="s">
        <v>30</v>
      </c>
      <c r="H19" s="10"/>
      <c r="I19" s="9"/>
    </row>
    <row r="20" customFormat="false" ht="29.85" hidden="false" customHeight="false" outlineLevel="0" collapsed="false">
      <c r="A20" s="6" t="n">
        <v>19</v>
      </c>
      <c r="B20" s="7" t="s">
        <v>57</v>
      </c>
      <c r="C20" s="7" t="s">
        <v>73</v>
      </c>
      <c r="D20" s="8" t="s">
        <v>27</v>
      </c>
      <c r="E20" s="9" t="s">
        <v>74</v>
      </c>
      <c r="F20" s="7" t="s">
        <v>70</v>
      </c>
      <c r="G20" s="7" t="s">
        <v>30</v>
      </c>
      <c r="H20" s="10"/>
      <c r="I20" s="9"/>
    </row>
    <row r="21" customFormat="false" ht="29.85" hidden="false" customHeight="false" outlineLevel="0" collapsed="false">
      <c r="A21" s="6" t="n">
        <v>20</v>
      </c>
      <c r="B21" s="7" t="s">
        <v>57</v>
      </c>
      <c r="C21" s="7" t="s">
        <v>75</v>
      </c>
      <c r="D21" s="8" t="s">
        <v>27</v>
      </c>
      <c r="E21" s="7" t="s">
        <v>76</v>
      </c>
      <c r="F21" s="7" t="s">
        <v>60</v>
      </c>
      <c r="G21" s="7" t="s">
        <v>30</v>
      </c>
      <c r="H21" s="10"/>
      <c r="I21" s="9"/>
    </row>
    <row r="22" customFormat="false" ht="29.85" hidden="false" customHeight="false" outlineLevel="0" collapsed="false">
      <c r="A22" s="6" t="n">
        <v>21</v>
      </c>
      <c r="B22" s="7" t="s">
        <v>57</v>
      </c>
      <c r="C22" s="7" t="s">
        <v>77</v>
      </c>
      <c r="D22" s="11" t="s">
        <v>32</v>
      </c>
      <c r="E22" s="7" t="s">
        <v>78</v>
      </c>
      <c r="F22" s="7" t="s">
        <v>60</v>
      </c>
      <c r="G22" s="7" t="s">
        <v>30</v>
      </c>
      <c r="H22" s="10"/>
      <c r="I22" s="9"/>
    </row>
    <row r="23" customFormat="false" ht="29.85" hidden="false" customHeight="false" outlineLevel="0" collapsed="false">
      <c r="A23" s="6" t="n">
        <v>22</v>
      </c>
      <c r="B23" s="7" t="s">
        <v>57</v>
      </c>
      <c r="C23" s="7" t="s">
        <v>79</v>
      </c>
      <c r="D23" s="8" t="s">
        <v>27</v>
      </c>
      <c r="E23" s="7" t="s">
        <v>80</v>
      </c>
      <c r="F23" s="7" t="s">
        <v>65</v>
      </c>
      <c r="G23" s="7" t="s">
        <v>30</v>
      </c>
      <c r="H23" s="10"/>
      <c r="I23" s="9"/>
    </row>
    <row r="24" customFormat="false" ht="29.85" hidden="false" customHeight="false" outlineLevel="0" collapsed="false">
      <c r="A24" s="6" t="n">
        <v>23</v>
      </c>
      <c r="B24" s="7" t="s">
        <v>57</v>
      </c>
      <c r="C24" s="7" t="s">
        <v>81</v>
      </c>
      <c r="D24" s="8" t="s">
        <v>27</v>
      </c>
      <c r="E24" s="7" t="s">
        <v>82</v>
      </c>
      <c r="F24" s="7" t="s">
        <v>60</v>
      </c>
      <c r="G24" s="7" t="s">
        <v>30</v>
      </c>
      <c r="H24" s="10"/>
      <c r="I24" s="9"/>
    </row>
    <row r="25" customFormat="false" ht="15" hidden="false" customHeight="false" outlineLevel="0" collapsed="false">
      <c r="A25" s="6" t="n">
        <v>24</v>
      </c>
      <c r="B25" s="7" t="s">
        <v>83</v>
      </c>
      <c r="C25" s="7" t="s">
        <v>84</v>
      </c>
      <c r="D25" s="11" t="s">
        <v>32</v>
      </c>
      <c r="E25" s="7" t="s">
        <v>85</v>
      </c>
      <c r="F25" s="7" t="s">
        <v>86</v>
      </c>
      <c r="G25" s="7" t="s">
        <v>30</v>
      </c>
      <c r="H25" s="10"/>
      <c r="I25" s="9"/>
    </row>
    <row r="26" customFormat="false" ht="15" hidden="false" customHeight="false" outlineLevel="0" collapsed="false">
      <c r="A26" s="6" t="n">
        <v>25</v>
      </c>
      <c r="B26" s="7" t="s">
        <v>83</v>
      </c>
      <c r="C26" s="7" t="s">
        <v>87</v>
      </c>
      <c r="D26" s="8" t="s">
        <v>27</v>
      </c>
      <c r="E26" s="7" t="s">
        <v>88</v>
      </c>
      <c r="F26" s="7" t="s">
        <v>86</v>
      </c>
      <c r="G26" s="7" t="s">
        <v>30</v>
      </c>
      <c r="H26" s="10"/>
      <c r="I26" s="9"/>
    </row>
    <row r="27" customFormat="false" ht="29.85" hidden="false" customHeight="false" outlineLevel="0" collapsed="false">
      <c r="A27" s="6" t="n">
        <v>26</v>
      </c>
      <c r="B27" s="7" t="s">
        <v>83</v>
      </c>
      <c r="C27" s="7" t="s">
        <v>89</v>
      </c>
      <c r="D27" s="11" t="s">
        <v>32</v>
      </c>
      <c r="E27" s="7" t="s">
        <v>90</v>
      </c>
      <c r="F27" s="7" t="s">
        <v>86</v>
      </c>
      <c r="G27" s="7" t="s">
        <v>30</v>
      </c>
      <c r="H27" s="10"/>
      <c r="I27" s="9"/>
    </row>
    <row r="28" customFormat="false" ht="26.85" hidden="false" customHeight="false" outlineLevel="0" collapsed="false">
      <c r="A28" s="6" t="n">
        <v>27</v>
      </c>
      <c r="B28" s="7" t="s">
        <v>83</v>
      </c>
      <c r="C28" s="7" t="s">
        <v>91</v>
      </c>
      <c r="D28" s="11" t="s">
        <v>32</v>
      </c>
      <c r="E28" s="7" t="s">
        <v>92</v>
      </c>
      <c r="F28" s="7" t="s">
        <v>93</v>
      </c>
      <c r="G28" s="7" t="s">
        <v>30</v>
      </c>
      <c r="H28" s="10"/>
      <c r="I28" s="9"/>
    </row>
    <row r="29" customFormat="false" ht="29.85" hidden="false" customHeight="false" outlineLevel="0" collapsed="false">
      <c r="A29" s="6" t="n">
        <v>28</v>
      </c>
      <c r="B29" s="7" t="s">
        <v>94</v>
      </c>
      <c r="C29" s="7" t="s">
        <v>95</v>
      </c>
      <c r="D29" s="8" t="s">
        <v>27</v>
      </c>
      <c r="E29" s="7" t="s">
        <v>96</v>
      </c>
      <c r="F29" s="7" t="s">
        <v>97</v>
      </c>
      <c r="G29" s="7" t="s">
        <v>30</v>
      </c>
      <c r="H29" s="10"/>
      <c r="I29" s="9"/>
    </row>
    <row r="30" customFormat="false" ht="29.85" hidden="false" customHeight="false" outlineLevel="0" collapsed="false">
      <c r="A30" s="6" t="n">
        <v>29</v>
      </c>
      <c r="B30" s="7" t="s">
        <v>94</v>
      </c>
      <c r="C30" s="7" t="s">
        <v>98</v>
      </c>
      <c r="D30" s="11" t="s">
        <v>32</v>
      </c>
      <c r="E30" s="9" t="s">
        <v>99</v>
      </c>
      <c r="F30" s="7" t="s">
        <v>100</v>
      </c>
      <c r="G30" s="12" t="s">
        <v>13</v>
      </c>
      <c r="H30" s="10"/>
      <c r="I30" s="9"/>
    </row>
    <row r="31" customFormat="false" ht="29.85" hidden="false" customHeight="false" outlineLevel="0" collapsed="false">
      <c r="A31" s="6" t="n">
        <v>30</v>
      </c>
      <c r="B31" s="7" t="s">
        <v>94</v>
      </c>
      <c r="C31" s="7" t="s">
        <v>101</v>
      </c>
      <c r="D31" s="11" t="s">
        <v>32</v>
      </c>
      <c r="E31" s="7" t="s">
        <v>102</v>
      </c>
      <c r="F31" s="7" t="s">
        <v>103</v>
      </c>
      <c r="G31" s="12" t="s">
        <v>13</v>
      </c>
      <c r="H31" s="10"/>
      <c r="I31" s="9"/>
    </row>
    <row r="32" customFormat="false" ht="29.85" hidden="false" customHeight="false" outlineLevel="0" collapsed="false">
      <c r="A32" s="6" t="n">
        <v>31</v>
      </c>
      <c r="B32" s="7" t="s">
        <v>94</v>
      </c>
      <c r="C32" s="7" t="s">
        <v>104</v>
      </c>
      <c r="D32" s="8" t="s">
        <v>27</v>
      </c>
      <c r="E32" s="7" t="s">
        <v>105</v>
      </c>
      <c r="F32" s="7" t="s">
        <v>97</v>
      </c>
      <c r="G32" s="12" t="s">
        <v>13</v>
      </c>
      <c r="H32" s="10"/>
      <c r="I32" s="9"/>
    </row>
    <row r="33" customFormat="false" ht="29.85" hidden="false" customHeight="false" outlineLevel="0" collapsed="false">
      <c r="A33" s="6" t="n">
        <v>32</v>
      </c>
      <c r="B33" s="7" t="s">
        <v>94</v>
      </c>
      <c r="C33" s="7" t="s">
        <v>106</v>
      </c>
      <c r="D33" s="8" t="s">
        <v>27</v>
      </c>
      <c r="E33" s="9" t="s">
        <v>107</v>
      </c>
      <c r="F33" s="7" t="s">
        <v>108</v>
      </c>
      <c r="G33" s="7" t="s">
        <v>30</v>
      </c>
      <c r="H33" s="10"/>
      <c r="I33" s="9"/>
    </row>
    <row r="34" customFormat="false" ht="29.85" hidden="false" customHeight="false" outlineLevel="0" collapsed="false">
      <c r="A34" s="6" t="n">
        <v>33</v>
      </c>
      <c r="B34" s="7" t="s">
        <v>94</v>
      </c>
      <c r="C34" s="7" t="s">
        <v>109</v>
      </c>
      <c r="D34" s="11" t="s">
        <v>32</v>
      </c>
      <c r="E34" s="7" t="s">
        <v>110</v>
      </c>
      <c r="F34" s="7" t="s">
        <v>108</v>
      </c>
      <c r="G34" s="7" t="s">
        <v>30</v>
      </c>
      <c r="H34" s="10"/>
      <c r="I34" s="9"/>
    </row>
    <row r="35" customFormat="false" ht="29.85" hidden="false" customHeight="false" outlineLevel="0" collapsed="false">
      <c r="A35" s="6" t="n">
        <v>34</v>
      </c>
      <c r="B35" s="7" t="s">
        <v>94</v>
      </c>
      <c r="C35" s="7" t="s">
        <v>111</v>
      </c>
      <c r="D35" s="8" t="s">
        <v>27</v>
      </c>
      <c r="E35" s="7" t="s">
        <v>112</v>
      </c>
      <c r="F35" s="7" t="s">
        <v>108</v>
      </c>
      <c r="G35" s="7" t="s">
        <v>30</v>
      </c>
      <c r="H35" s="10"/>
      <c r="I35" s="9"/>
    </row>
    <row r="36" customFormat="false" ht="29.85" hidden="false" customHeight="false" outlineLevel="0" collapsed="false">
      <c r="A36" s="6" t="n">
        <v>35</v>
      </c>
      <c r="B36" s="7" t="s">
        <v>94</v>
      </c>
      <c r="C36" s="7" t="s">
        <v>113</v>
      </c>
      <c r="D36" s="11" t="s">
        <v>32</v>
      </c>
      <c r="E36" s="7" t="s">
        <v>114</v>
      </c>
      <c r="F36" s="7" t="s">
        <v>108</v>
      </c>
      <c r="G36" s="7" t="s">
        <v>30</v>
      </c>
      <c r="H36" s="10"/>
      <c r="I36" s="9"/>
    </row>
    <row r="37" customFormat="false" ht="29.85" hidden="false" customHeight="false" outlineLevel="0" collapsed="false">
      <c r="A37" s="6" t="n">
        <v>36</v>
      </c>
      <c r="B37" s="7" t="s">
        <v>94</v>
      </c>
      <c r="C37" s="7" t="s">
        <v>115</v>
      </c>
      <c r="D37" s="11" t="s">
        <v>32</v>
      </c>
      <c r="E37" s="7" t="s">
        <v>116</v>
      </c>
      <c r="F37" s="7" t="s">
        <v>108</v>
      </c>
      <c r="G37" s="7" t="s">
        <v>30</v>
      </c>
      <c r="H37" s="10"/>
      <c r="I37" s="9"/>
    </row>
    <row r="38" customFormat="false" ht="15" hidden="false" customHeight="false" outlineLevel="0" collapsed="false">
      <c r="A38" s="6" t="n">
        <v>37</v>
      </c>
      <c r="B38" s="7" t="s">
        <v>117</v>
      </c>
      <c r="C38" s="7" t="s">
        <v>118</v>
      </c>
      <c r="D38" s="8" t="s">
        <v>27</v>
      </c>
      <c r="E38" s="7" t="s">
        <v>119</v>
      </c>
      <c r="F38" s="7" t="s">
        <v>120</v>
      </c>
      <c r="G38" s="7" t="s">
        <v>30</v>
      </c>
      <c r="H38" s="10"/>
      <c r="I38" s="9"/>
    </row>
    <row r="39" customFormat="false" ht="15" hidden="false" customHeight="false" outlineLevel="0" collapsed="false">
      <c r="A39" s="6" t="n">
        <v>38</v>
      </c>
      <c r="B39" s="7" t="s">
        <v>117</v>
      </c>
      <c r="C39" s="7" t="s">
        <v>121</v>
      </c>
      <c r="D39" s="8" t="s">
        <v>27</v>
      </c>
      <c r="E39" s="7" t="s">
        <v>122</v>
      </c>
      <c r="F39" s="7" t="s">
        <v>120</v>
      </c>
      <c r="G39" s="7" t="s">
        <v>30</v>
      </c>
      <c r="H39" s="10"/>
      <c r="I39" s="9"/>
    </row>
    <row r="40" customFormat="false" ht="15" hidden="false" customHeight="false" outlineLevel="0" collapsed="false">
      <c r="A40" s="6" t="n">
        <v>39</v>
      </c>
      <c r="B40" s="7" t="s">
        <v>117</v>
      </c>
      <c r="C40" s="7" t="s">
        <v>123</v>
      </c>
      <c r="D40" s="11" t="s">
        <v>32</v>
      </c>
      <c r="E40" s="7" t="s">
        <v>124</v>
      </c>
      <c r="F40" s="7" t="s">
        <v>120</v>
      </c>
      <c r="G40" s="7" t="s">
        <v>30</v>
      </c>
      <c r="H40" s="10"/>
      <c r="I40" s="9"/>
    </row>
    <row r="41" customFormat="false" ht="15" hidden="false" customHeight="false" outlineLevel="0" collapsed="false">
      <c r="A41" s="6" t="n">
        <v>40</v>
      </c>
      <c r="B41" s="7" t="s">
        <v>117</v>
      </c>
      <c r="C41" s="7" t="s">
        <v>125</v>
      </c>
      <c r="D41" s="8" t="s">
        <v>27</v>
      </c>
      <c r="E41" s="7" t="s">
        <v>126</v>
      </c>
      <c r="F41" s="7" t="s">
        <v>120</v>
      </c>
      <c r="G41" s="7" t="s">
        <v>30</v>
      </c>
      <c r="H41" s="10"/>
      <c r="I41" s="9"/>
    </row>
    <row r="42" customFormat="false" ht="29.85" hidden="false" customHeight="false" outlineLevel="0" collapsed="false">
      <c r="A42" s="6" t="n">
        <v>41</v>
      </c>
      <c r="B42" s="7" t="s">
        <v>117</v>
      </c>
      <c r="C42" s="7" t="s">
        <v>127</v>
      </c>
      <c r="D42" s="8" t="s">
        <v>27</v>
      </c>
      <c r="E42" s="7" t="s">
        <v>128</v>
      </c>
      <c r="F42" s="7" t="s">
        <v>120</v>
      </c>
      <c r="G42" s="7" t="s">
        <v>30</v>
      </c>
      <c r="H42" s="10"/>
      <c r="I42" s="9"/>
    </row>
    <row r="43" customFormat="false" ht="15" hidden="false" customHeight="false" outlineLevel="0" collapsed="false">
      <c r="A43" s="6" t="n">
        <v>42</v>
      </c>
      <c r="B43" s="7" t="s">
        <v>117</v>
      </c>
      <c r="C43" s="7" t="s">
        <v>129</v>
      </c>
      <c r="D43" s="8" t="s">
        <v>27</v>
      </c>
      <c r="E43" s="7" t="s">
        <v>130</v>
      </c>
      <c r="F43" s="7" t="s">
        <v>120</v>
      </c>
      <c r="G43" s="7" t="s">
        <v>30</v>
      </c>
      <c r="H43" s="10"/>
      <c r="I43" s="9"/>
    </row>
    <row r="44" customFormat="false" ht="15" hidden="false" customHeight="false" outlineLevel="0" collapsed="false">
      <c r="A44" s="6" t="n">
        <v>43</v>
      </c>
      <c r="B44" s="7" t="s">
        <v>117</v>
      </c>
      <c r="C44" s="7" t="s">
        <v>131</v>
      </c>
      <c r="D44" s="8" t="s">
        <v>27</v>
      </c>
      <c r="E44" s="7" t="s">
        <v>132</v>
      </c>
      <c r="F44" s="7" t="s">
        <v>120</v>
      </c>
      <c r="G44" s="7" t="s">
        <v>30</v>
      </c>
      <c r="H44" s="10"/>
      <c r="I44" s="9"/>
    </row>
    <row r="45" customFormat="false" ht="29.85" hidden="false" customHeight="false" outlineLevel="0" collapsed="false">
      <c r="A45" s="6" t="n">
        <v>44</v>
      </c>
      <c r="B45" s="7" t="s">
        <v>117</v>
      </c>
      <c r="C45" s="7" t="s">
        <v>133</v>
      </c>
      <c r="D45" s="8" t="s">
        <v>27</v>
      </c>
      <c r="E45" s="7" t="s">
        <v>134</v>
      </c>
      <c r="F45" s="7" t="s">
        <v>135</v>
      </c>
      <c r="G45" s="7" t="s">
        <v>30</v>
      </c>
      <c r="H45" s="10"/>
      <c r="I45" s="9"/>
    </row>
    <row r="46" customFormat="false" ht="29.85" hidden="false" customHeight="false" outlineLevel="0" collapsed="false">
      <c r="A46" s="6" t="n">
        <v>45</v>
      </c>
      <c r="B46" s="7" t="s">
        <v>136</v>
      </c>
      <c r="C46" s="7" t="s">
        <v>137</v>
      </c>
      <c r="D46" s="8" t="s">
        <v>27</v>
      </c>
      <c r="E46" s="7" t="s">
        <v>138</v>
      </c>
      <c r="F46" s="7" t="s">
        <v>139</v>
      </c>
      <c r="G46" s="7" t="s">
        <v>30</v>
      </c>
      <c r="H46" s="10"/>
      <c r="I46" s="9"/>
    </row>
    <row r="47" customFormat="false" ht="15" hidden="false" customHeight="false" outlineLevel="0" collapsed="false">
      <c r="A47" s="6" t="n">
        <v>46</v>
      </c>
      <c r="B47" s="7" t="s">
        <v>136</v>
      </c>
      <c r="C47" s="7" t="s">
        <v>140</v>
      </c>
      <c r="D47" s="11" t="s">
        <v>32</v>
      </c>
      <c r="E47" s="9" t="s">
        <v>141</v>
      </c>
      <c r="F47" s="7" t="s">
        <v>139</v>
      </c>
      <c r="G47" s="7" t="s">
        <v>30</v>
      </c>
      <c r="H47" s="10"/>
      <c r="I47" s="9"/>
    </row>
    <row r="48" customFormat="false" ht="15" hidden="false" customHeight="false" outlineLevel="0" collapsed="false">
      <c r="A48" s="6" t="n">
        <v>47</v>
      </c>
      <c r="B48" s="7" t="s">
        <v>136</v>
      </c>
      <c r="C48" s="7" t="s">
        <v>142</v>
      </c>
      <c r="D48" s="8" t="s">
        <v>27</v>
      </c>
      <c r="E48" s="7" t="s">
        <v>143</v>
      </c>
      <c r="F48" s="7" t="s">
        <v>144</v>
      </c>
      <c r="G48" s="7" t="s">
        <v>30</v>
      </c>
      <c r="H48" s="10"/>
      <c r="I48" s="9"/>
    </row>
    <row r="49" customFormat="false" ht="15" hidden="false" customHeight="false" outlineLevel="0" collapsed="false">
      <c r="A49" s="6" t="n">
        <v>48</v>
      </c>
      <c r="B49" s="7" t="s">
        <v>136</v>
      </c>
      <c r="C49" s="7" t="s">
        <v>145</v>
      </c>
      <c r="D49" s="8" t="s">
        <v>27</v>
      </c>
      <c r="E49" s="9" t="s">
        <v>146</v>
      </c>
      <c r="F49" s="7" t="s">
        <v>144</v>
      </c>
      <c r="G49" s="7" t="s">
        <v>30</v>
      </c>
      <c r="H49" s="10"/>
      <c r="I49" s="9"/>
    </row>
    <row r="50" customFormat="false" ht="15" hidden="false" customHeight="false" outlineLevel="0" collapsed="false">
      <c r="A50" s="6" t="n">
        <v>49</v>
      </c>
      <c r="B50" s="7" t="s">
        <v>136</v>
      </c>
      <c r="C50" s="7" t="s">
        <v>147</v>
      </c>
      <c r="D50" s="11" t="s">
        <v>32</v>
      </c>
      <c r="E50" s="7" t="s">
        <v>148</v>
      </c>
      <c r="F50" s="7" t="s">
        <v>144</v>
      </c>
      <c r="G50" s="7" t="s">
        <v>30</v>
      </c>
      <c r="H50" s="10"/>
      <c r="I50" s="9"/>
    </row>
    <row r="51" customFormat="false" ht="26.85" hidden="false" customHeight="false" outlineLevel="0" collapsed="false">
      <c r="A51" s="6" t="n">
        <v>50</v>
      </c>
      <c r="B51" s="7" t="s">
        <v>136</v>
      </c>
      <c r="C51" s="7" t="s">
        <v>149</v>
      </c>
      <c r="D51" s="8" t="s">
        <v>27</v>
      </c>
      <c r="E51" s="9" t="s">
        <v>150</v>
      </c>
      <c r="F51" s="7" t="s">
        <v>151</v>
      </c>
      <c r="G51" s="7" t="s">
        <v>30</v>
      </c>
      <c r="H51" s="10"/>
      <c r="I51" s="9"/>
    </row>
    <row r="52" customFormat="false" ht="29.85" hidden="false" customHeight="false" outlineLevel="0" collapsed="false">
      <c r="A52" s="6" t="n">
        <v>51</v>
      </c>
      <c r="B52" s="7" t="s">
        <v>136</v>
      </c>
      <c r="C52" s="7" t="s">
        <v>152</v>
      </c>
      <c r="D52" s="8" t="s">
        <v>27</v>
      </c>
      <c r="E52" s="7" t="s">
        <v>153</v>
      </c>
      <c r="F52" s="7" t="s">
        <v>154</v>
      </c>
      <c r="G52" s="7" t="s">
        <v>30</v>
      </c>
      <c r="H52" s="10"/>
      <c r="I52" s="9"/>
    </row>
    <row r="53" customFormat="false" ht="29.85" hidden="false" customHeight="false" outlineLevel="0" collapsed="false">
      <c r="A53" s="6" t="n">
        <v>52</v>
      </c>
      <c r="B53" s="7" t="s">
        <v>136</v>
      </c>
      <c r="C53" s="7" t="s">
        <v>155</v>
      </c>
      <c r="D53" s="11" t="s">
        <v>32</v>
      </c>
      <c r="E53" s="7" t="s">
        <v>156</v>
      </c>
      <c r="F53" s="7" t="s">
        <v>157</v>
      </c>
      <c r="G53" s="7" t="s">
        <v>30</v>
      </c>
      <c r="H53" s="10"/>
      <c r="I53" s="9"/>
    </row>
    <row r="54" customFormat="false" ht="29.85" hidden="false" customHeight="false" outlineLevel="0" collapsed="false">
      <c r="A54" s="6" t="n">
        <v>53</v>
      </c>
      <c r="B54" s="7" t="s">
        <v>136</v>
      </c>
      <c r="C54" s="7" t="s">
        <v>158</v>
      </c>
      <c r="D54" s="11" t="s">
        <v>32</v>
      </c>
      <c r="E54" s="9" t="s">
        <v>159</v>
      </c>
      <c r="F54" s="7" t="s">
        <v>160</v>
      </c>
      <c r="G54" s="7" t="s">
        <v>30</v>
      </c>
      <c r="H54" s="10"/>
      <c r="I54" s="9"/>
    </row>
    <row r="55" customFormat="false" ht="29.85" hidden="false" customHeight="false" outlineLevel="0" collapsed="false">
      <c r="A55" s="6" t="n">
        <v>54</v>
      </c>
      <c r="B55" s="7" t="s">
        <v>136</v>
      </c>
      <c r="C55" s="7" t="s">
        <v>161</v>
      </c>
      <c r="D55" s="11" t="s">
        <v>32</v>
      </c>
      <c r="E55" s="7" t="s">
        <v>162</v>
      </c>
      <c r="F55" s="7" t="s">
        <v>163</v>
      </c>
      <c r="G55" s="12" t="s">
        <v>13</v>
      </c>
      <c r="H55" s="10"/>
      <c r="I55" s="9"/>
    </row>
    <row r="56" customFormat="false" ht="15" hidden="false" customHeight="false" outlineLevel="0" collapsed="false">
      <c r="A56" s="6" t="n">
        <v>55</v>
      </c>
      <c r="B56" s="7" t="s">
        <v>164</v>
      </c>
      <c r="C56" s="7" t="s">
        <v>165</v>
      </c>
      <c r="D56" s="8" t="s">
        <v>27</v>
      </c>
      <c r="E56" s="7" t="s">
        <v>166</v>
      </c>
      <c r="F56" s="7" t="s">
        <v>167</v>
      </c>
      <c r="G56" s="7" t="s">
        <v>30</v>
      </c>
      <c r="H56" s="10"/>
      <c r="I56" s="9"/>
    </row>
    <row r="57" customFormat="false" ht="15" hidden="false" customHeight="false" outlineLevel="0" collapsed="false">
      <c r="A57" s="6" t="n">
        <v>56</v>
      </c>
      <c r="B57" s="7" t="s">
        <v>164</v>
      </c>
      <c r="C57" s="7" t="s">
        <v>168</v>
      </c>
      <c r="D57" s="8" t="s">
        <v>27</v>
      </c>
      <c r="E57" s="7" t="s">
        <v>169</v>
      </c>
      <c r="F57" s="7" t="s">
        <v>170</v>
      </c>
      <c r="G57" s="7" t="s">
        <v>30</v>
      </c>
      <c r="H57" s="10"/>
      <c r="I57" s="9"/>
    </row>
    <row r="58" customFormat="false" ht="15" hidden="false" customHeight="false" outlineLevel="0" collapsed="false">
      <c r="A58" s="6" t="n">
        <v>57</v>
      </c>
      <c r="B58" s="7" t="s">
        <v>164</v>
      </c>
      <c r="C58" s="7" t="s">
        <v>171</v>
      </c>
      <c r="D58" s="8" t="s">
        <v>27</v>
      </c>
      <c r="E58" s="7" t="s">
        <v>172</v>
      </c>
      <c r="F58" s="7" t="s">
        <v>173</v>
      </c>
      <c r="G58" s="7" t="s">
        <v>30</v>
      </c>
      <c r="H58" s="10"/>
      <c r="I58" s="9"/>
    </row>
    <row r="59" customFormat="false" ht="15" hidden="false" customHeight="false" outlineLevel="0" collapsed="false">
      <c r="A59" s="6" t="n">
        <v>58</v>
      </c>
      <c r="B59" s="7" t="s">
        <v>164</v>
      </c>
      <c r="C59" s="7" t="s">
        <v>174</v>
      </c>
      <c r="D59" s="11" t="s">
        <v>32</v>
      </c>
      <c r="E59" s="9" t="s">
        <v>175</v>
      </c>
      <c r="F59" s="7" t="s">
        <v>173</v>
      </c>
      <c r="G59" s="7" t="s">
        <v>30</v>
      </c>
      <c r="H59" s="10"/>
      <c r="I59" s="9"/>
    </row>
    <row r="60" customFormat="false" ht="29.85" hidden="false" customHeight="false" outlineLevel="0" collapsed="false">
      <c r="A60" s="6" t="n">
        <v>59</v>
      </c>
      <c r="B60" s="7" t="s">
        <v>164</v>
      </c>
      <c r="C60" s="7" t="s">
        <v>176</v>
      </c>
      <c r="D60" s="11" t="s">
        <v>32</v>
      </c>
      <c r="E60" s="7" t="s">
        <v>177</v>
      </c>
      <c r="F60" s="7" t="s">
        <v>178</v>
      </c>
      <c r="G60" s="7" t="s">
        <v>30</v>
      </c>
      <c r="H60" s="10"/>
      <c r="I60" s="9"/>
    </row>
    <row r="61" customFormat="false" ht="29.85" hidden="false" customHeight="false" outlineLevel="0" collapsed="false">
      <c r="A61" s="6" t="n">
        <v>60</v>
      </c>
      <c r="B61" s="7" t="s">
        <v>164</v>
      </c>
      <c r="C61" s="7" t="s">
        <v>179</v>
      </c>
      <c r="D61" s="8" t="s">
        <v>27</v>
      </c>
      <c r="E61" s="7" t="s">
        <v>180</v>
      </c>
      <c r="F61" s="7" t="s">
        <v>181</v>
      </c>
      <c r="G61" s="7" t="s">
        <v>30</v>
      </c>
      <c r="H61" s="10"/>
      <c r="I61" s="9"/>
    </row>
    <row r="62" customFormat="false" ht="15" hidden="false" customHeight="false" outlineLevel="0" collapsed="false">
      <c r="A62" s="6" t="n">
        <v>61</v>
      </c>
      <c r="B62" s="7" t="s">
        <v>164</v>
      </c>
      <c r="C62" s="7" t="s">
        <v>182</v>
      </c>
      <c r="D62" s="11" t="s">
        <v>32</v>
      </c>
      <c r="E62" s="9" t="s">
        <v>183</v>
      </c>
      <c r="F62" s="7" t="s">
        <v>181</v>
      </c>
      <c r="G62" s="7" t="s">
        <v>30</v>
      </c>
      <c r="H62" s="10"/>
      <c r="I62" s="9"/>
    </row>
    <row r="63" customFormat="false" ht="15" hidden="false" customHeight="false" outlineLevel="0" collapsed="false">
      <c r="A63" s="6" t="n">
        <v>62</v>
      </c>
      <c r="B63" s="7" t="s">
        <v>164</v>
      </c>
      <c r="C63" s="7" t="s">
        <v>184</v>
      </c>
      <c r="D63" s="11" t="s">
        <v>32</v>
      </c>
      <c r="E63" s="7" t="s">
        <v>185</v>
      </c>
      <c r="F63" s="7" t="s">
        <v>186</v>
      </c>
      <c r="G63" s="7" t="s">
        <v>30</v>
      </c>
      <c r="H63" s="10"/>
      <c r="I63" s="9"/>
    </row>
    <row r="64" customFormat="false" ht="29.85" hidden="false" customHeight="false" outlineLevel="0" collapsed="false">
      <c r="A64" s="6" t="n">
        <v>63</v>
      </c>
      <c r="B64" s="7" t="s">
        <v>164</v>
      </c>
      <c r="C64" s="7" t="s">
        <v>187</v>
      </c>
      <c r="D64" s="8" t="s">
        <v>27</v>
      </c>
      <c r="E64" s="7" t="s">
        <v>188</v>
      </c>
      <c r="F64" s="7" t="s">
        <v>189</v>
      </c>
      <c r="G64" s="7" t="s">
        <v>30</v>
      </c>
      <c r="H64" s="10"/>
      <c r="I64" s="9"/>
    </row>
    <row r="65" customFormat="false" ht="29.85" hidden="false" customHeight="false" outlineLevel="0" collapsed="false">
      <c r="A65" s="6" t="n">
        <v>64</v>
      </c>
      <c r="B65" s="7" t="s">
        <v>164</v>
      </c>
      <c r="C65" s="7" t="s">
        <v>190</v>
      </c>
      <c r="D65" s="8" t="s">
        <v>27</v>
      </c>
      <c r="E65" s="7" t="s">
        <v>191</v>
      </c>
      <c r="F65" s="7" t="s">
        <v>192</v>
      </c>
      <c r="G65" s="7" t="s">
        <v>30</v>
      </c>
      <c r="H65" s="10"/>
      <c r="I65" s="9"/>
    </row>
    <row r="66" customFormat="false" ht="15" hidden="false" customHeight="false" outlineLevel="0" collapsed="false">
      <c r="A66" s="6" t="n">
        <v>65</v>
      </c>
      <c r="B66" s="7" t="s">
        <v>193</v>
      </c>
      <c r="C66" s="7" t="s">
        <v>194</v>
      </c>
      <c r="D66" s="8" t="s">
        <v>27</v>
      </c>
      <c r="E66" s="7" t="s">
        <v>195</v>
      </c>
      <c r="F66" s="7" t="s">
        <v>196</v>
      </c>
      <c r="G66" s="7" t="s">
        <v>30</v>
      </c>
      <c r="H66" s="10"/>
      <c r="I66" s="9"/>
    </row>
    <row r="67" customFormat="false" ht="15" hidden="false" customHeight="false" outlineLevel="0" collapsed="false">
      <c r="A67" s="6" t="n">
        <v>66</v>
      </c>
      <c r="B67" s="7" t="s">
        <v>193</v>
      </c>
      <c r="C67" s="7" t="s">
        <v>197</v>
      </c>
      <c r="D67" s="11" t="s">
        <v>32</v>
      </c>
      <c r="E67" s="7" t="s">
        <v>198</v>
      </c>
      <c r="F67" s="7" t="s">
        <v>196</v>
      </c>
      <c r="G67" s="7" t="s">
        <v>30</v>
      </c>
      <c r="H67" s="10"/>
      <c r="I67" s="9"/>
    </row>
    <row r="68" customFormat="false" ht="29.85" hidden="false" customHeight="false" outlineLevel="0" collapsed="false">
      <c r="A68" s="6" t="n">
        <v>67</v>
      </c>
      <c r="B68" s="7" t="s">
        <v>193</v>
      </c>
      <c r="C68" s="7" t="s">
        <v>199</v>
      </c>
      <c r="D68" s="8" t="s">
        <v>27</v>
      </c>
      <c r="E68" s="7" t="s">
        <v>200</v>
      </c>
      <c r="F68" s="7" t="s">
        <v>196</v>
      </c>
      <c r="G68" s="7" t="s">
        <v>30</v>
      </c>
      <c r="H68" s="10"/>
      <c r="I68" s="9"/>
    </row>
    <row r="69" customFormat="false" ht="15" hidden="false" customHeight="false" outlineLevel="0" collapsed="false">
      <c r="A69" s="6" t="n">
        <v>68</v>
      </c>
      <c r="B69" s="7" t="s">
        <v>193</v>
      </c>
      <c r="C69" s="7" t="s">
        <v>201</v>
      </c>
      <c r="D69" s="11" t="s">
        <v>32</v>
      </c>
      <c r="E69" s="7" t="s">
        <v>202</v>
      </c>
      <c r="F69" s="7" t="s">
        <v>196</v>
      </c>
      <c r="G69" s="7" t="s">
        <v>30</v>
      </c>
      <c r="H69" s="10"/>
      <c r="I69" s="9"/>
    </row>
    <row r="70" customFormat="false" ht="15" hidden="false" customHeight="false" outlineLevel="0" collapsed="false">
      <c r="A70" s="6" t="n">
        <v>69</v>
      </c>
      <c r="B70" s="7" t="s">
        <v>193</v>
      </c>
      <c r="C70" s="7" t="s">
        <v>203</v>
      </c>
      <c r="D70" s="8" t="s">
        <v>27</v>
      </c>
      <c r="E70" s="7" t="s">
        <v>204</v>
      </c>
      <c r="F70" s="7" t="s">
        <v>196</v>
      </c>
      <c r="G70" s="7" t="s">
        <v>30</v>
      </c>
      <c r="H70" s="10"/>
      <c r="I70" s="9"/>
    </row>
    <row r="71" customFormat="false" ht="15" hidden="false" customHeight="false" outlineLevel="0" collapsed="false">
      <c r="A71" s="6" t="n">
        <v>70</v>
      </c>
      <c r="B71" s="7" t="s">
        <v>193</v>
      </c>
      <c r="C71" s="7" t="s">
        <v>205</v>
      </c>
      <c r="D71" s="11" t="s">
        <v>32</v>
      </c>
      <c r="E71" s="9" t="s">
        <v>206</v>
      </c>
      <c r="F71" s="7" t="s">
        <v>196</v>
      </c>
      <c r="G71" s="7" t="s">
        <v>30</v>
      </c>
      <c r="H71" s="10"/>
      <c r="I71" s="9"/>
    </row>
    <row r="72" customFormat="false" ht="29.85" hidden="false" customHeight="false" outlineLevel="0" collapsed="false">
      <c r="A72" s="6" t="n">
        <v>71</v>
      </c>
      <c r="B72" s="7" t="s">
        <v>193</v>
      </c>
      <c r="C72" s="7" t="s">
        <v>207</v>
      </c>
      <c r="D72" s="8" t="s">
        <v>27</v>
      </c>
      <c r="E72" s="7" t="s">
        <v>208</v>
      </c>
      <c r="F72" s="7" t="s">
        <v>196</v>
      </c>
      <c r="G72" s="7" t="s">
        <v>30</v>
      </c>
      <c r="H72" s="10"/>
      <c r="I72" s="9"/>
    </row>
    <row r="73" customFormat="false" ht="29.85" hidden="false" customHeight="false" outlineLevel="0" collapsed="false">
      <c r="A73" s="6" t="n">
        <v>72</v>
      </c>
      <c r="B73" s="7" t="s">
        <v>193</v>
      </c>
      <c r="C73" s="7" t="s">
        <v>209</v>
      </c>
      <c r="D73" s="11" t="s">
        <v>32</v>
      </c>
      <c r="E73" s="9" t="s">
        <v>210</v>
      </c>
      <c r="F73" s="7" t="s">
        <v>196</v>
      </c>
      <c r="G73" s="7" t="s">
        <v>30</v>
      </c>
      <c r="H73" s="10"/>
      <c r="I73" s="9"/>
    </row>
    <row r="74" customFormat="false" ht="29.85" hidden="false" customHeight="false" outlineLevel="0" collapsed="false">
      <c r="A74" s="6" t="n">
        <v>73</v>
      </c>
      <c r="B74" s="7" t="s">
        <v>211</v>
      </c>
      <c r="C74" s="9" t="s">
        <v>212</v>
      </c>
      <c r="D74" s="8" t="s">
        <v>27</v>
      </c>
      <c r="E74" s="9" t="s">
        <v>213</v>
      </c>
      <c r="F74" s="7" t="s">
        <v>214</v>
      </c>
      <c r="G74" s="7" t="s">
        <v>30</v>
      </c>
      <c r="H74" s="10"/>
      <c r="I74" s="9"/>
    </row>
    <row r="75" customFormat="false" ht="15" hidden="false" customHeight="false" outlineLevel="0" collapsed="false">
      <c r="A75" s="6" t="n">
        <v>74</v>
      </c>
      <c r="B75" s="7" t="s">
        <v>211</v>
      </c>
      <c r="C75" s="7" t="s">
        <v>215</v>
      </c>
      <c r="D75" s="11" t="s">
        <v>32</v>
      </c>
      <c r="E75" s="9" t="s">
        <v>216</v>
      </c>
      <c r="F75" s="7" t="s">
        <v>214</v>
      </c>
      <c r="G75" s="7" t="s">
        <v>30</v>
      </c>
      <c r="H75" s="10"/>
      <c r="I75" s="9"/>
    </row>
    <row r="76" customFormat="false" ht="29.85" hidden="false" customHeight="false" outlineLevel="0" collapsed="false">
      <c r="A76" s="6" t="n">
        <v>75</v>
      </c>
      <c r="B76" s="7" t="s">
        <v>211</v>
      </c>
      <c r="C76" s="7" t="s">
        <v>217</v>
      </c>
      <c r="D76" s="8" t="s">
        <v>27</v>
      </c>
      <c r="E76" s="7" t="s">
        <v>218</v>
      </c>
      <c r="F76" s="7" t="s">
        <v>214</v>
      </c>
      <c r="G76" s="7" t="s">
        <v>30</v>
      </c>
      <c r="H76" s="10"/>
      <c r="I76" s="9"/>
    </row>
    <row r="77" customFormat="false" ht="15" hidden="false" customHeight="false" outlineLevel="0" collapsed="false">
      <c r="A77" s="6" t="n">
        <v>76</v>
      </c>
      <c r="B77" s="7" t="s">
        <v>219</v>
      </c>
      <c r="C77" s="7" t="s">
        <v>220</v>
      </c>
      <c r="D77" s="11" t="s">
        <v>32</v>
      </c>
      <c r="E77" s="7" t="s">
        <v>221</v>
      </c>
      <c r="F77" s="7" t="s">
        <v>222</v>
      </c>
      <c r="G77" s="7" t="s">
        <v>30</v>
      </c>
      <c r="H77" s="10"/>
      <c r="I77" s="9"/>
    </row>
    <row r="78" customFormat="false" ht="15" hidden="false" customHeight="false" outlineLevel="0" collapsed="false">
      <c r="A78" s="6" t="n">
        <v>77</v>
      </c>
      <c r="B78" s="7" t="s">
        <v>219</v>
      </c>
      <c r="C78" s="7" t="s">
        <v>223</v>
      </c>
      <c r="D78" s="8" t="s">
        <v>27</v>
      </c>
      <c r="E78" s="7" t="s">
        <v>224</v>
      </c>
      <c r="F78" s="7" t="s">
        <v>170</v>
      </c>
      <c r="G78" s="7" t="s">
        <v>30</v>
      </c>
      <c r="H78" s="10"/>
      <c r="I78" s="9"/>
    </row>
    <row r="79" customFormat="false" ht="15" hidden="false" customHeight="false" outlineLevel="0" collapsed="false">
      <c r="A79" s="6" t="n">
        <v>78</v>
      </c>
      <c r="B79" s="7" t="s">
        <v>219</v>
      </c>
      <c r="C79" s="7" t="s">
        <v>225</v>
      </c>
      <c r="D79" s="11" t="s">
        <v>32</v>
      </c>
      <c r="E79" s="7" t="s">
        <v>226</v>
      </c>
      <c r="F79" s="7" t="s">
        <v>227</v>
      </c>
      <c r="G79" s="7" t="s">
        <v>30</v>
      </c>
      <c r="H79" s="10"/>
      <c r="I79" s="9"/>
    </row>
    <row r="80" customFormat="false" ht="15" hidden="false" customHeight="false" outlineLevel="0" collapsed="false">
      <c r="A80" s="6" t="n">
        <v>79</v>
      </c>
      <c r="B80" s="7" t="s">
        <v>219</v>
      </c>
      <c r="C80" s="7" t="s">
        <v>228</v>
      </c>
      <c r="D80" s="8" t="s">
        <v>27</v>
      </c>
      <c r="E80" s="9" t="s">
        <v>229</v>
      </c>
      <c r="F80" s="7" t="s">
        <v>170</v>
      </c>
      <c r="G80" s="7" t="s">
        <v>30</v>
      </c>
      <c r="H80" s="10"/>
      <c r="I80" s="9"/>
    </row>
    <row r="81" customFormat="false" ht="15" hidden="false" customHeight="false" outlineLevel="0" collapsed="false">
      <c r="A81" s="6" t="n">
        <v>80</v>
      </c>
      <c r="B81" s="7" t="s">
        <v>219</v>
      </c>
      <c r="C81" s="7" t="s">
        <v>230</v>
      </c>
      <c r="D81" s="11" t="s">
        <v>32</v>
      </c>
      <c r="E81" s="7" t="s">
        <v>231</v>
      </c>
      <c r="F81" s="7" t="s">
        <v>232</v>
      </c>
      <c r="G81" s="7" t="s">
        <v>30</v>
      </c>
      <c r="H81" s="10"/>
      <c r="I81" s="9"/>
    </row>
    <row r="82" customFormat="false" ht="29.85" hidden="false" customHeight="false" outlineLevel="0" collapsed="false">
      <c r="A82" s="6" t="n">
        <v>81</v>
      </c>
      <c r="B82" s="7" t="s">
        <v>219</v>
      </c>
      <c r="C82" s="7" t="s">
        <v>233</v>
      </c>
      <c r="D82" s="8" t="s">
        <v>27</v>
      </c>
      <c r="E82" s="9" t="s">
        <v>234</v>
      </c>
      <c r="F82" s="7" t="s">
        <v>235</v>
      </c>
      <c r="G82" s="12" t="s">
        <v>13</v>
      </c>
      <c r="H82" s="10"/>
      <c r="I82" s="9"/>
    </row>
    <row r="83" customFormat="false" ht="29.85" hidden="false" customHeight="false" outlineLevel="0" collapsed="false">
      <c r="A83" s="6" t="n">
        <v>82</v>
      </c>
      <c r="B83" s="7" t="s">
        <v>236</v>
      </c>
      <c r="C83" s="7" t="s">
        <v>237</v>
      </c>
      <c r="D83" s="8" t="s">
        <v>27</v>
      </c>
      <c r="E83" s="7" t="s">
        <v>238</v>
      </c>
      <c r="F83" s="7" t="s">
        <v>239</v>
      </c>
      <c r="G83" s="7" t="s">
        <v>30</v>
      </c>
      <c r="H83" s="10"/>
      <c r="I83" s="9"/>
    </row>
    <row r="84" customFormat="false" ht="29.85" hidden="false" customHeight="false" outlineLevel="0" collapsed="false">
      <c r="A84" s="6" t="n">
        <v>83</v>
      </c>
      <c r="B84" s="7" t="s">
        <v>236</v>
      </c>
      <c r="C84" s="7" t="s">
        <v>240</v>
      </c>
      <c r="D84" s="8" t="s">
        <v>27</v>
      </c>
      <c r="E84" s="7" t="s">
        <v>241</v>
      </c>
      <c r="F84" s="7" t="s">
        <v>239</v>
      </c>
      <c r="G84" s="7" t="s">
        <v>30</v>
      </c>
      <c r="H84" s="10"/>
      <c r="I84" s="9"/>
    </row>
    <row r="85" customFormat="false" ht="15" hidden="false" customHeight="false" outlineLevel="0" collapsed="false">
      <c r="A85" s="6" t="n">
        <v>84</v>
      </c>
      <c r="B85" s="7" t="s">
        <v>236</v>
      </c>
      <c r="C85" s="7" t="s">
        <v>242</v>
      </c>
      <c r="D85" s="11" t="s">
        <v>32</v>
      </c>
      <c r="E85" s="7" t="s">
        <v>243</v>
      </c>
      <c r="F85" s="7" t="s">
        <v>239</v>
      </c>
      <c r="G85" s="7" t="s">
        <v>30</v>
      </c>
      <c r="H85" s="10"/>
      <c r="I85" s="9"/>
    </row>
    <row r="86" customFormat="false" ht="29.85" hidden="false" customHeight="false" outlineLevel="0" collapsed="false">
      <c r="A86" s="6" t="n">
        <v>85</v>
      </c>
      <c r="B86" s="7" t="s">
        <v>236</v>
      </c>
      <c r="C86" s="7" t="s">
        <v>244</v>
      </c>
      <c r="D86" s="11" t="s">
        <v>32</v>
      </c>
      <c r="E86" s="7" t="s">
        <v>245</v>
      </c>
      <c r="F86" s="7" t="s">
        <v>239</v>
      </c>
      <c r="G86" s="7" t="s">
        <v>30</v>
      </c>
      <c r="H86" s="10"/>
      <c r="I86" s="9"/>
    </row>
    <row r="87" customFormat="false" ht="29.85" hidden="false" customHeight="false" outlineLevel="0" collapsed="false">
      <c r="A87" s="6" t="n">
        <v>86</v>
      </c>
      <c r="B87" s="7" t="s">
        <v>236</v>
      </c>
      <c r="C87" s="7" t="s">
        <v>246</v>
      </c>
      <c r="D87" s="8" t="s">
        <v>27</v>
      </c>
      <c r="E87" s="7" t="s">
        <v>247</v>
      </c>
      <c r="F87" s="7" t="s">
        <v>239</v>
      </c>
      <c r="G87" s="7" t="s">
        <v>30</v>
      </c>
      <c r="H87" s="10"/>
      <c r="I87" s="9"/>
    </row>
    <row r="88" customFormat="false" ht="29.85" hidden="false" customHeight="false" outlineLevel="0" collapsed="false">
      <c r="A88" s="6" t="n">
        <v>87</v>
      </c>
      <c r="B88" s="7" t="s">
        <v>236</v>
      </c>
      <c r="C88" s="7" t="s">
        <v>248</v>
      </c>
      <c r="D88" s="8" t="s">
        <v>27</v>
      </c>
      <c r="E88" s="7" t="s">
        <v>249</v>
      </c>
      <c r="F88" s="7" t="s">
        <v>239</v>
      </c>
      <c r="G88" s="7" t="s">
        <v>30</v>
      </c>
      <c r="H88" s="10"/>
      <c r="I88" s="9"/>
    </row>
    <row r="89" customFormat="false" ht="15" hidden="false" customHeight="false" outlineLevel="0" collapsed="false">
      <c r="A89" s="6" t="n">
        <v>88</v>
      </c>
      <c r="B89" s="7" t="s">
        <v>250</v>
      </c>
      <c r="C89" s="7" t="s">
        <v>251</v>
      </c>
      <c r="D89" s="8" t="s">
        <v>27</v>
      </c>
      <c r="E89" s="7" t="s">
        <v>114</v>
      </c>
      <c r="F89" s="7" t="s">
        <v>252</v>
      </c>
      <c r="G89" s="7" t="s">
        <v>30</v>
      </c>
      <c r="H89" s="10"/>
      <c r="I89" s="9"/>
    </row>
    <row r="90" customFormat="false" ht="15" hidden="false" customHeight="false" outlineLevel="0" collapsed="false">
      <c r="A90" s="6" t="n">
        <v>89</v>
      </c>
      <c r="B90" s="7" t="s">
        <v>250</v>
      </c>
      <c r="C90" s="9" t="s">
        <v>253</v>
      </c>
      <c r="D90" s="8" t="s">
        <v>27</v>
      </c>
      <c r="E90" s="9" t="s">
        <v>254</v>
      </c>
      <c r="F90" s="7" t="s">
        <v>252</v>
      </c>
      <c r="G90" s="7" t="s">
        <v>30</v>
      </c>
      <c r="H90" s="10"/>
      <c r="I90" s="9"/>
    </row>
    <row r="91" customFormat="false" ht="15" hidden="false" customHeight="false" outlineLevel="0" collapsed="false">
      <c r="A91" s="6" t="n">
        <v>90</v>
      </c>
      <c r="B91" s="7" t="s">
        <v>250</v>
      </c>
      <c r="C91" s="7" t="s">
        <v>255</v>
      </c>
      <c r="D91" s="11" t="s">
        <v>32</v>
      </c>
      <c r="E91" s="7" t="s">
        <v>256</v>
      </c>
      <c r="F91" s="7" t="s">
        <v>257</v>
      </c>
      <c r="G91" s="7" t="s">
        <v>30</v>
      </c>
      <c r="H91" s="10"/>
      <c r="I91" s="9"/>
    </row>
    <row r="92" customFormat="false" ht="29.85" hidden="false" customHeight="false" outlineLevel="0" collapsed="false">
      <c r="A92" s="6" t="n">
        <v>91</v>
      </c>
      <c r="B92" s="7" t="s">
        <v>250</v>
      </c>
      <c r="C92" s="7" t="s">
        <v>258</v>
      </c>
      <c r="D92" s="8" t="s">
        <v>27</v>
      </c>
      <c r="E92" s="7" t="s">
        <v>259</v>
      </c>
      <c r="F92" s="7" t="s">
        <v>260</v>
      </c>
      <c r="G92" s="12" t="s">
        <v>13</v>
      </c>
      <c r="H92" s="10"/>
      <c r="I92" s="9"/>
    </row>
    <row r="93" customFormat="false" ht="15" hidden="false" customHeight="false" outlineLevel="0" collapsed="false">
      <c r="A93" s="6" t="n">
        <v>92</v>
      </c>
      <c r="B93" s="7" t="s">
        <v>250</v>
      </c>
      <c r="C93" s="7" t="s">
        <v>261</v>
      </c>
      <c r="D93" s="11" t="s">
        <v>32</v>
      </c>
      <c r="E93" s="9" t="s">
        <v>262</v>
      </c>
      <c r="F93" s="7" t="s">
        <v>263</v>
      </c>
      <c r="G93" s="7" t="s">
        <v>30</v>
      </c>
      <c r="H93" s="10"/>
      <c r="I93" s="9"/>
    </row>
    <row r="94" customFormat="false" ht="29.85" hidden="false" customHeight="false" outlineLevel="0" collapsed="false">
      <c r="A94" s="6" t="n">
        <v>93</v>
      </c>
      <c r="B94" s="7" t="s">
        <v>250</v>
      </c>
      <c r="C94" s="7" t="s">
        <v>264</v>
      </c>
      <c r="D94" s="8" t="s">
        <v>27</v>
      </c>
      <c r="E94" s="9" t="s">
        <v>265</v>
      </c>
      <c r="F94" s="7" t="s">
        <v>263</v>
      </c>
      <c r="G94" s="7" t="s">
        <v>30</v>
      </c>
      <c r="H94" s="10"/>
      <c r="I94" s="9"/>
    </row>
    <row r="95" customFormat="false" ht="29.85" hidden="false" customHeight="false" outlineLevel="0" collapsed="false">
      <c r="A95" s="6" t="n">
        <v>94</v>
      </c>
      <c r="B95" s="7" t="s">
        <v>250</v>
      </c>
      <c r="C95" s="7" t="s">
        <v>266</v>
      </c>
      <c r="D95" s="8" t="s">
        <v>27</v>
      </c>
      <c r="E95" s="9" t="s">
        <v>267</v>
      </c>
      <c r="F95" s="7" t="s">
        <v>263</v>
      </c>
      <c r="G95" s="7" t="s">
        <v>30</v>
      </c>
      <c r="H95" s="10"/>
      <c r="I95" s="9"/>
    </row>
    <row r="96" customFormat="false" ht="29.85" hidden="false" customHeight="false" outlineLevel="0" collapsed="false">
      <c r="A96" s="6" t="n">
        <v>95</v>
      </c>
      <c r="B96" s="7" t="s">
        <v>250</v>
      </c>
      <c r="C96" s="7" t="s">
        <v>268</v>
      </c>
      <c r="D96" s="8" t="s">
        <v>27</v>
      </c>
      <c r="E96" s="7" t="s">
        <v>269</v>
      </c>
      <c r="F96" s="7" t="s">
        <v>270</v>
      </c>
      <c r="G96" s="7" t="s">
        <v>30</v>
      </c>
      <c r="H96" s="10"/>
      <c r="I96" s="9"/>
    </row>
    <row r="97" customFormat="false" ht="29.85" hidden="false" customHeight="false" outlineLevel="0" collapsed="false">
      <c r="A97" s="6" t="n">
        <v>96</v>
      </c>
      <c r="B97" s="7" t="s">
        <v>250</v>
      </c>
      <c r="C97" s="7" t="s">
        <v>271</v>
      </c>
      <c r="D97" s="11" t="s">
        <v>32</v>
      </c>
      <c r="E97" s="7" t="s">
        <v>272</v>
      </c>
      <c r="F97" s="7" t="s">
        <v>273</v>
      </c>
      <c r="G97" s="7" t="s">
        <v>30</v>
      </c>
      <c r="H97" s="10"/>
      <c r="I97" s="9"/>
    </row>
    <row r="98" customFormat="false" ht="29.85" hidden="false" customHeight="false" outlineLevel="0" collapsed="false">
      <c r="A98" s="6" t="n">
        <v>97</v>
      </c>
      <c r="B98" s="7" t="s">
        <v>250</v>
      </c>
      <c r="C98" s="9" t="s">
        <v>274</v>
      </c>
      <c r="D98" s="8" t="s">
        <v>27</v>
      </c>
      <c r="E98" s="9" t="s">
        <v>275</v>
      </c>
      <c r="F98" s="7" t="s">
        <v>252</v>
      </c>
      <c r="G98" s="7" t="s">
        <v>30</v>
      </c>
      <c r="H98" s="10"/>
      <c r="I98" s="9"/>
    </row>
    <row r="99" customFormat="false" ht="29.85" hidden="false" customHeight="false" outlineLevel="0" collapsed="false">
      <c r="A99" s="6" t="n">
        <v>98</v>
      </c>
      <c r="B99" s="7" t="s">
        <v>136</v>
      </c>
      <c r="C99" s="7" t="s">
        <v>276</v>
      </c>
      <c r="D99" s="11" t="s">
        <v>32</v>
      </c>
      <c r="E99" s="7" t="s">
        <v>277</v>
      </c>
      <c r="F99" s="7" t="s">
        <v>278</v>
      </c>
      <c r="G99" s="7" t="s">
        <v>30</v>
      </c>
      <c r="H99" s="10"/>
      <c r="I99" s="9"/>
    </row>
    <row r="100" customFormat="false" ht="29.85" hidden="false" customHeight="false" outlineLevel="0" collapsed="false">
      <c r="A100" s="6" t="n">
        <v>99</v>
      </c>
      <c r="B100" s="7" t="s">
        <v>279</v>
      </c>
      <c r="C100" s="7" t="s">
        <v>280</v>
      </c>
      <c r="D100" s="8" t="s">
        <v>27</v>
      </c>
      <c r="E100" s="7" t="s">
        <v>281</v>
      </c>
      <c r="F100" s="7" t="s">
        <v>282</v>
      </c>
      <c r="G100" s="7" t="s">
        <v>30</v>
      </c>
      <c r="H100" s="10"/>
      <c r="I100" s="9"/>
    </row>
    <row r="101" customFormat="false" ht="15" hidden="false" customHeight="false" outlineLevel="0" collapsed="false">
      <c r="A101" s="6" t="n">
        <v>100</v>
      </c>
      <c r="B101" s="7" t="s">
        <v>279</v>
      </c>
      <c r="C101" s="7" t="s">
        <v>283</v>
      </c>
      <c r="D101" s="8" t="s">
        <v>27</v>
      </c>
      <c r="E101" s="7" t="s">
        <v>284</v>
      </c>
      <c r="F101" s="7" t="s">
        <v>285</v>
      </c>
      <c r="G101" s="12" t="s">
        <v>13</v>
      </c>
      <c r="H101" s="10"/>
      <c r="I101" s="9"/>
    </row>
  </sheetData>
  <autoFilter ref="A1:I101"/>
  <dataValidations count="1">
    <dataValidation allowBlank="true" errorStyle="stop" operator="between" showDropDown="false" showErrorMessage="false" showInputMessage="false" sqref="H2:H101" type="list">
      <formula1>"O,X"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2026-10-29T00:12:19Z</dcterms:created>
  <dc:creator>openpyxl</dc:creator>
  <dc:description/>
  <dc:language>en-US</dc:language>
  <cp:lastModifiedBy/>
  <dcterms:modified xsi:type="dcterms:W3CDTF">2026-10-29T00:12:19Z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